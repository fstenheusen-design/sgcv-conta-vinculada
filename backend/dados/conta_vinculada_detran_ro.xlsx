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ntratos" sheetId="2" state="visible" r:id="rId2"/>
    <sheet name="Empregados" sheetId="3" state="visible" r:id="rId3"/>
    <sheet name="Medicao_Mensal" sheetId="4" state="visible" r:id="rId4"/>
    <sheet name="Conciliacao" sheetId="5" state="visible" r:id="rId5"/>
    <sheet name="Pai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 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4497A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10" fontId="3" fillId="4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95" customWidth="1" min="3" max="3"/>
  </cols>
  <sheetData>
    <row r="1">
      <c r="A1" s="1" t="inlineStr">
        <is>
          <t>PARÂMETROS – CONTA VINCULADA (IN 05/2017)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Descrição</t>
        </is>
      </c>
    </row>
    <row r="4">
      <c r="A4" s="3" t="inlineStr">
        <is>
          <t>Multa FGTS sobre rescisão</t>
        </is>
      </c>
      <c r="B4" s="4" t="n">
        <v>0.4</v>
      </c>
      <c r="C4" s="3" t="inlineStr">
        <is>
          <t>Percentual da multa do FGTS devida na rescisão (40%). Editável conforme edital/contrato.</t>
        </is>
      </c>
    </row>
    <row r="5">
      <c r="A5" s="3" t="inlineStr">
        <is>
          <t>Contribuição social sobre rescisão</t>
        </is>
      </c>
      <c r="B5" s="4" t="n">
        <v>0.1</v>
      </c>
      <c r="C5" s="3" t="inlineStr">
        <is>
          <t>Contribuição social (10%) sobre a rescisão. Editável conforme edital/contrato.</t>
        </is>
      </c>
    </row>
    <row r="6">
      <c r="A6" s="3" t="inlineStr">
        <is>
          <t>Alíquota FGTS mensal</t>
        </is>
      </c>
      <c r="B6" s="4" t="n">
        <v>0.08</v>
      </c>
      <c r="C6" s="3" t="inlineStr">
        <is>
          <t>Alíquota do FGTS (8%) aplicada sobre a remuneração mensal. Editável.</t>
        </is>
      </c>
    </row>
    <row r="7">
      <c r="A7" s="3" t="inlineStr">
        <is>
          <t>INSS patronal sobre 13º e férias</t>
        </is>
      </c>
      <c r="B7" s="4" t="n">
        <v>0.2</v>
      </c>
      <c r="C7" s="3" t="inlineStr">
        <is>
          <t>Alíquota patronal do INSS (20%) sobre 13º salário e férias. Editável.</t>
        </is>
      </c>
    </row>
    <row r="8">
      <c r="A8" s="3" t="inlineStr">
        <is>
          <t>RAT/FAP sobre 13º e férias</t>
        </is>
      </c>
      <c r="B8" s="4" t="n">
        <v>0.03</v>
      </c>
      <c r="C8" s="3" t="inlineStr">
        <is>
          <t>RAT/FAP (3%) sobre 13º e férias. Editável conforme grau de risco.</t>
        </is>
      </c>
    </row>
    <row r="9">
      <c r="A9" s="3" t="inlineStr">
        <is>
          <t>Encargo adicional de férias</t>
        </is>
      </c>
      <c r="B9" s="4" t="n">
        <v>0.3333</v>
      </c>
      <c r="C9" s="3" t="inlineStr">
        <is>
          <t>Adicional de 1/3 constitucional sobre as férias (0,3333). Editável.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5" customWidth="1" min="4" max="4"/>
    <col width="15" customWidth="1" min="5" max="5"/>
    <col width="20" customWidth="1" min="6" max="6"/>
    <col width="16" customWidth="1" min="7" max="7"/>
    <col width="28" customWidth="1" min="8" max="8"/>
    <col width="13" customWidth="1" min="9" max="9"/>
  </cols>
  <sheetData>
    <row r="1">
      <c r="A1" s="2" t="inlineStr">
        <is>
          <t>Nº Contrato</t>
        </is>
      </c>
      <c r="B1" s="2" t="inlineStr">
        <is>
          <t>Contratada</t>
        </is>
      </c>
      <c r="C1" s="2" t="inlineStr">
        <is>
          <t>Objeto</t>
        </is>
      </c>
      <c r="D1" s="2" t="inlineStr">
        <is>
          <t>Vigência Início</t>
        </is>
      </c>
      <c r="E1" s="2" t="inlineStr">
        <is>
          <t>Vigência Fim</t>
        </is>
      </c>
      <c r="F1" s="2" t="inlineStr">
        <is>
          <t>Faturamento Mensal (R$)</t>
        </is>
      </c>
      <c r="G1" s="2" t="inlineStr">
        <is>
          <t>Parcela Autônoma %</t>
        </is>
      </c>
      <c r="H1" s="2" t="inlineStr">
        <is>
          <t>Saldo Inicial Conta Vinculada (R$)</t>
        </is>
      </c>
      <c r="I1" s="2" t="inlineStr">
        <is>
          <t>Nº Empregados</t>
        </is>
      </c>
    </row>
    <row r="2">
      <c r="A2" s="3" t="inlineStr">
        <is>
          <t>001/2025</t>
        </is>
      </c>
      <c r="B2" s="3" t="inlineStr">
        <is>
          <t>Segurança XYZ Ltda</t>
        </is>
      </c>
      <c r="C2" s="3" t="inlineStr">
        <is>
          <t>Vigilância Patrimonial</t>
        </is>
      </c>
      <c r="D2" s="5" t="n">
        <v>45658</v>
      </c>
      <c r="E2" s="5" t="n">
        <v>46022</v>
      </c>
      <c r="F2" s="6" t="n">
        <v>98000</v>
      </c>
      <c r="G2" s="7" t="n">
        <v>0.11</v>
      </c>
      <c r="H2" s="6" t="n">
        <v>50000</v>
      </c>
      <c r="I2" s="3">
        <f>IF($A2="","",COUNTIF(Empregados!$A:$A,$A2))</f>
        <v/>
      </c>
    </row>
    <row r="3">
      <c r="A3" s="3" t="inlineStr">
        <is>
          <t>002/2025</t>
        </is>
      </c>
      <c r="B3" s="3" t="inlineStr">
        <is>
          <t>Limpeza ABC Ltda</t>
        </is>
      </c>
      <c r="C3" s="3" t="inlineStr">
        <is>
          <t>Aux. Limpeza</t>
        </is>
      </c>
      <c r="D3" s="5" t="n">
        <v>45658</v>
      </c>
      <c r="E3" s="5" t="n">
        <v>46022</v>
      </c>
      <c r="F3" s="6" t="n">
        <v>42000</v>
      </c>
      <c r="G3" s="7" t="n">
        <v>0.09</v>
      </c>
      <c r="H3" s="6" t="n">
        <v>15000</v>
      </c>
      <c r="I3" s="3">
        <f>IF($A3="","",COUNTIF(Empregados!$A:$A,$A3))</f>
        <v/>
      </c>
    </row>
    <row r="4">
      <c r="F4" s="8" t="n"/>
      <c r="G4" s="9" t="n"/>
      <c r="H4" s="8" t="n"/>
      <c r="I4" s="3">
        <f>IF($A4="","",COUNTIF(Empregados!$A:$A,$A4))</f>
        <v/>
      </c>
    </row>
    <row r="5">
      <c r="F5" s="8" t="n"/>
      <c r="G5" s="9" t="n"/>
      <c r="H5" s="8" t="n"/>
      <c r="I5" s="3">
        <f>IF($A5="","",COUNTIF(Empregados!$A:$A,$A5))</f>
        <v/>
      </c>
    </row>
    <row r="6">
      <c r="F6" s="8" t="n"/>
      <c r="G6" s="9" t="n"/>
      <c r="H6" s="8" t="n"/>
      <c r="I6" s="3">
        <f>IF($A6="","",COUNTIF(Empregados!$A:$A,$A6))</f>
        <v/>
      </c>
    </row>
    <row r="7">
      <c r="F7" s="8" t="n"/>
      <c r="G7" s="9" t="n"/>
      <c r="H7" s="8" t="n"/>
      <c r="I7" s="3">
        <f>IF($A7="","",COUNTIF(Empregados!$A:$A,$A7))</f>
        <v/>
      </c>
    </row>
    <row r="8">
      <c r="F8" s="8" t="n"/>
      <c r="G8" s="9" t="n"/>
      <c r="H8" s="8" t="n"/>
      <c r="I8" s="3">
        <f>IF($A8="","",COUNTIF(Empregados!$A:$A,$A8))</f>
        <v/>
      </c>
    </row>
    <row r="9">
      <c r="F9" s="8" t="n"/>
      <c r="G9" s="9" t="n"/>
      <c r="H9" s="8" t="n"/>
      <c r="I9" s="3">
        <f>IF($A9="","",COUNTIF(Empregados!$A:$A,$A9))</f>
        <v/>
      </c>
    </row>
    <row r="10">
      <c r="F10" s="8" t="n"/>
      <c r="G10" s="9" t="n"/>
      <c r="H10" s="8" t="n"/>
      <c r="I10" s="3">
        <f>IF($A10="","",COUNTIF(Empregados!$A:$A,$A10))</f>
        <v/>
      </c>
    </row>
    <row r="11">
      <c r="F11" s="8" t="n"/>
      <c r="G11" s="9" t="n"/>
      <c r="H11" s="8" t="n"/>
      <c r="I11" s="3">
        <f>IF($A11="","",COUNTIF(Empregados!$A:$A,$A11))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4" customWidth="1" min="4" max="4"/>
    <col width="17" customWidth="1" min="5" max="5"/>
    <col width="13" customWidth="1" min="6" max="6"/>
    <col width="17" customWidth="1" min="7" max="7"/>
    <col width="22" customWidth="1" min="8" max="8"/>
    <col width="17" customWidth="1" min="9" max="9"/>
    <col width="19" customWidth="1" min="10" max="10"/>
    <col width="23" customWidth="1" min="11" max="11"/>
    <col width="19" customWidth="1" min="12" max="12"/>
  </cols>
  <sheetData>
    <row r="1">
      <c r="A1" s="2" t="inlineStr">
        <is>
          <t>Nº Contrato</t>
        </is>
      </c>
      <c r="B1" s="2" t="inlineStr">
        <is>
          <t>Matrícula</t>
        </is>
      </c>
      <c r="C1" s="2" t="inlineStr">
        <is>
          <t>Nome</t>
        </is>
      </c>
      <c r="D1" s="2" t="inlineStr">
        <is>
          <t>Função</t>
        </is>
      </c>
      <c r="E1" s="2" t="inlineStr">
        <is>
          <t>Salário Base (R$)</t>
        </is>
      </c>
      <c r="F1" s="2" t="inlineStr">
        <is>
          <t>Data Admissão</t>
        </is>
      </c>
      <c r="G1" s="2" t="inlineStr">
        <is>
          <t>Provisão 13º Mensal</t>
        </is>
      </c>
      <c r="H1" s="2" t="inlineStr">
        <is>
          <t>Provisão Férias+1/3 Mensal</t>
        </is>
      </c>
      <c r="I1" s="2" t="inlineStr">
        <is>
          <t>Encargo INSS s/13º</t>
        </is>
      </c>
      <c r="J1" s="2" t="inlineStr">
        <is>
          <t>Encargo INSS s/Férias</t>
        </is>
      </c>
      <c r="K1" s="2" t="inlineStr">
        <is>
          <t>Provisão Rescisória Mensal</t>
        </is>
      </c>
      <c r="L1" s="2" t="inlineStr">
        <is>
          <t>TOTAL Provisão Mensal</t>
        </is>
      </c>
    </row>
    <row r="2">
      <c r="A2" s="3" t="inlineStr">
        <is>
          <t>001/2025</t>
        </is>
      </c>
      <c r="B2" s="3" t="inlineStr">
        <is>
          <t>V-001</t>
        </is>
      </c>
      <c r="C2" s="3" t="inlineStr">
        <is>
          <t>Vigilante 1</t>
        </is>
      </c>
      <c r="D2" s="3" t="inlineStr">
        <is>
          <t>Vigilante</t>
        </is>
      </c>
      <c r="E2" s="6" t="n">
        <v>2200</v>
      </c>
      <c r="F2" s="5" t="n">
        <v>45659</v>
      </c>
      <c r="G2" s="6">
        <f>IF(E2="","",E2/12)</f>
        <v/>
      </c>
      <c r="H2" s="6">
        <f>IF(E2="","",E2/12*(1+Parametros!$B$9))</f>
        <v/>
      </c>
      <c r="I2" s="6">
        <f>IF(G2="","",G2*(Parametros!$B$7+Parametros!$B$8))</f>
        <v/>
      </c>
      <c r="J2" s="6">
        <f>IF(H2="","",H2*(Parametros!$B$7+Parametros!$B$8))</f>
        <v/>
      </c>
      <c r="K2" s="6">
        <f>IF(E2="","",E2*Parametros!$B$6*(Parametros!$B$4+Parametros!$B$5))</f>
        <v/>
      </c>
      <c r="L2" s="6">
        <f>IF(E2="","",SUM(G2:K2))</f>
        <v/>
      </c>
    </row>
    <row r="3">
      <c r="A3" s="3" t="inlineStr">
        <is>
          <t>001/2025</t>
        </is>
      </c>
      <c r="B3" s="3" t="inlineStr">
        <is>
          <t>V-002</t>
        </is>
      </c>
      <c r="C3" s="3" t="inlineStr">
        <is>
          <t>Vigilante 2</t>
        </is>
      </c>
      <c r="D3" s="3" t="inlineStr">
        <is>
          <t>Vigilante</t>
        </is>
      </c>
      <c r="E3" s="6" t="n">
        <v>2200</v>
      </c>
      <c r="F3" s="5" t="n">
        <v>45659</v>
      </c>
      <c r="G3" s="6">
        <f>IF(E3="","",E3/12)</f>
        <v/>
      </c>
      <c r="H3" s="6">
        <f>IF(E3="","",E3/12*(1+Parametros!$B$9))</f>
        <v/>
      </c>
      <c r="I3" s="6">
        <f>IF(G3="","",G3*(Parametros!$B$7+Parametros!$B$8))</f>
        <v/>
      </c>
      <c r="J3" s="6">
        <f>IF(H3="","",H3*(Parametros!$B$7+Parametros!$B$8))</f>
        <v/>
      </c>
      <c r="K3" s="6">
        <f>IF(E3="","",E3*Parametros!$B$6*(Parametros!$B$4+Parametros!$B$5))</f>
        <v/>
      </c>
      <c r="L3" s="6">
        <f>IF(E3="","",SUM(G3:K3))</f>
        <v/>
      </c>
    </row>
    <row r="4">
      <c r="A4" s="3" t="inlineStr">
        <is>
          <t>001/2025</t>
        </is>
      </c>
      <c r="B4" s="3" t="inlineStr">
        <is>
          <t>V-003</t>
        </is>
      </c>
      <c r="C4" s="3" t="inlineStr">
        <is>
          <t>Vigilante 3</t>
        </is>
      </c>
      <c r="D4" s="3" t="inlineStr">
        <is>
          <t>Vigilante</t>
        </is>
      </c>
      <c r="E4" s="6" t="n">
        <v>2200</v>
      </c>
      <c r="F4" s="5" t="n">
        <v>45659</v>
      </c>
      <c r="G4" s="6">
        <f>IF(E4="","",E4/12)</f>
        <v/>
      </c>
      <c r="H4" s="6">
        <f>IF(E4="","",E4/12*(1+Parametros!$B$9))</f>
        <v/>
      </c>
      <c r="I4" s="6">
        <f>IF(G4="","",G4*(Parametros!$B$7+Parametros!$B$8))</f>
        <v/>
      </c>
      <c r="J4" s="6">
        <f>IF(H4="","",H4*(Parametros!$B$7+Parametros!$B$8))</f>
        <v/>
      </c>
      <c r="K4" s="6">
        <f>IF(E4="","",E4*Parametros!$B$6*(Parametros!$B$4+Parametros!$B$5))</f>
        <v/>
      </c>
      <c r="L4" s="6">
        <f>IF(E4="","",SUM(G4:K4))</f>
        <v/>
      </c>
    </row>
    <row r="5">
      <c r="A5" s="3" t="inlineStr">
        <is>
          <t>001/2025</t>
        </is>
      </c>
      <c r="B5" s="3" t="inlineStr">
        <is>
          <t>V-004</t>
        </is>
      </c>
      <c r="C5" s="3" t="inlineStr">
        <is>
          <t>Vigilante 4</t>
        </is>
      </c>
      <c r="D5" s="3" t="inlineStr">
        <is>
          <t>Vigilante</t>
        </is>
      </c>
      <c r="E5" s="6" t="n">
        <v>2200</v>
      </c>
      <c r="F5" s="5" t="n">
        <v>45659</v>
      </c>
      <c r="G5" s="6">
        <f>IF(E5="","",E5/12)</f>
        <v/>
      </c>
      <c r="H5" s="6">
        <f>IF(E5="","",E5/12*(1+Parametros!$B$9))</f>
        <v/>
      </c>
      <c r="I5" s="6">
        <f>IF(G5="","",G5*(Parametros!$B$7+Parametros!$B$8))</f>
        <v/>
      </c>
      <c r="J5" s="6">
        <f>IF(H5="","",H5*(Parametros!$B$7+Parametros!$B$8))</f>
        <v/>
      </c>
      <c r="K5" s="6">
        <f>IF(E5="","",E5*Parametros!$B$6*(Parametros!$B$4+Parametros!$B$5))</f>
        <v/>
      </c>
      <c r="L5" s="6">
        <f>IF(E5="","",SUM(G5:K5))</f>
        <v/>
      </c>
    </row>
    <row r="6">
      <c r="A6" s="3" t="inlineStr">
        <is>
          <t>001/2025</t>
        </is>
      </c>
      <c r="B6" s="3" t="inlineStr">
        <is>
          <t>V-005</t>
        </is>
      </c>
      <c r="C6" s="3" t="inlineStr">
        <is>
          <t>Vigilante 5</t>
        </is>
      </c>
      <c r="D6" s="3" t="inlineStr">
        <is>
          <t>Vigilante</t>
        </is>
      </c>
      <c r="E6" s="6" t="n">
        <v>2200</v>
      </c>
      <c r="F6" s="5" t="n">
        <v>45659</v>
      </c>
      <c r="G6" s="6">
        <f>IF(E6="","",E6/12)</f>
        <v/>
      </c>
      <c r="H6" s="6">
        <f>IF(E6="","",E6/12*(1+Parametros!$B$9))</f>
        <v/>
      </c>
      <c r="I6" s="6">
        <f>IF(G6="","",G6*(Parametros!$B$7+Parametros!$B$8))</f>
        <v/>
      </c>
      <c r="J6" s="6">
        <f>IF(H6="","",H6*(Parametros!$B$7+Parametros!$B$8))</f>
        <v/>
      </c>
      <c r="K6" s="6">
        <f>IF(E6="","",E6*Parametros!$B$6*(Parametros!$B$4+Parametros!$B$5))</f>
        <v/>
      </c>
      <c r="L6" s="6">
        <f>IF(E6="","",SUM(G6:K6))</f>
        <v/>
      </c>
    </row>
    <row r="7">
      <c r="A7" s="3" t="inlineStr">
        <is>
          <t>001/2025</t>
        </is>
      </c>
      <c r="B7" s="3" t="inlineStr">
        <is>
          <t>V-006</t>
        </is>
      </c>
      <c r="C7" s="3" t="inlineStr">
        <is>
          <t>Vigilante 6</t>
        </is>
      </c>
      <c r="D7" s="3" t="inlineStr">
        <is>
          <t>Vigilante</t>
        </is>
      </c>
      <c r="E7" s="6" t="n">
        <v>2200</v>
      </c>
      <c r="F7" s="5" t="n">
        <v>45659</v>
      </c>
      <c r="G7" s="6">
        <f>IF(E7="","",E7/12)</f>
        <v/>
      </c>
      <c r="H7" s="6">
        <f>IF(E7="","",E7/12*(1+Parametros!$B$9))</f>
        <v/>
      </c>
      <c r="I7" s="6">
        <f>IF(G7="","",G7*(Parametros!$B$7+Parametros!$B$8))</f>
        <v/>
      </c>
      <c r="J7" s="6">
        <f>IF(H7="","",H7*(Parametros!$B$7+Parametros!$B$8))</f>
        <v/>
      </c>
      <c r="K7" s="6">
        <f>IF(E7="","",E7*Parametros!$B$6*(Parametros!$B$4+Parametros!$B$5))</f>
        <v/>
      </c>
      <c r="L7" s="6">
        <f>IF(E7="","",SUM(G7:K7))</f>
        <v/>
      </c>
    </row>
    <row r="8">
      <c r="A8" s="3" t="inlineStr">
        <is>
          <t>001/2025</t>
        </is>
      </c>
      <c r="B8" s="3" t="inlineStr">
        <is>
          <t>V-007</t>
        </is>
      </c>
      <c r="C8" s="3" t="inlineStr">
        <is>
          <t>Vigilante 7</t>
        </is>
      </c>
      <c r="D8" s="3" t="inlineStr">
        <is>
          <t>Vigilante</t>
        </is>
      </c>
      <c r="E8" s="6" t="n">
        <v>2200</v>
      </c>
      <c r="F8" s="5" t="n">
        <v>45659</v>
      </c>
      <c r="G8" s="6">
        <f>IF(E8="","",E8/12)</f>
        <v/>
      </c>
      <c r="H8" s="6">
        <f>IF(E8="","",E8/12*(1+Parametros!$B$9))</f>
        <v/>
      </c>
      <c r="I8" s="6">
        <f>IF(G8="","",G8*(Parametros!$B$7+Parametros!$B$8))</f>
        <v/>
      </c>
      <c r="J8" s="6">
        <f>IF(H8="","",H8*(Parametros!$B$7+Parametros!$B$8))</f>
        <v/>
      </c>
      <c r="K8" s="6">
        <f>IF(E8="","",E8*Parametros!$B$6*(Parametros!$B$4+Parametros!$B$5))</f>
        <v/>
      </c>
      <c r="L8" s="6">
        <f>IF(E8="","",SUM(G8:K8))</f>
        <v/>
      </c>
    </row>
    <row r="9">
      <c r="A9" s="3" t="inlineStr">
        <is>
          <t>001/2025</t>
        </is>
      </c>
      <c r="B9" s="3" t="inlineStr">
        <is>
          <t>V-008</t>
        </is>
      </c>
      <c r="C9" s="3" t="inlineStr">
        <is>
          <t>Vigilante 8</t>
        </is>
      </c>
      <c r="D9" s="3" t="inlineStr">
        <is>
          <t>Vigilante</t>
        </is>
      </c>
      <c r="E9" s="6" t="n">
        <v>2200</v>
      </c>
      <c r="F9" s="5" t="n">
        <v>45659</v>
      </c>
      <c r="G9" s="6">
        <f>IF(E9="","",E9/12)</f>
        <v/>
      </c>
      <c r="H9" s="6">
        <f>IF(E9="","",E9/12*(1+Parametros!$B$9))</f>
        <v/>
      </c>
      <c r="I9" s="6">
        <f>IF(G9="","",G9*(Parametros!$B$7+Parametros!$B$8))</f>
        <v/>
      </c>
      <c r="J9" s="6">
        <f>IF(H9="","",H9*(Parametros!$B$7+Parametros!$B$8))</f>
        <v/>
      </c>
      <c r="K9" s="6">
        <f>IF(E9="","",E9*Parametros!$B$6*(Parametros!$B$4+Parametros!$B$5))</f>
        <v/>
      </c>
      <c r="L9" s="6">
        <f>IF(E9="","",SUM(G9:K9))</f>
        <v/>
      </c>
    </row>
    <row r="10">
      <c r="A10" s="3" t="inlineStr">
        <is>
          <t>002/2025</t>
        </is>
      </c>
      <c r="B10" s="3" t="inlineStr">
        <is>
          <t>L-001</t>
        </is>
      </c>
      <c r="C10" s="3" t="inlineStr">
        <is>
          <t>Limpeza 1</t>
        </is>
      </c>
      <c r="D10" s="3" t="inlineStr">
        <is>
          <t>Aux. Limpeza</t>
        </is>
      </c>
      <c r="E10" s="6" t="n">
        <v>1800</v>
      </c>
      <c r="F10" s="5" t="n">
        <v>45660</v>
      </c>
      <c r="G10" s="6">
        <f>IF(E10="","",E10/12)</f>
        <v/>
      </c>
      <c r="H10" s="6">
        <f>IF(E10="","",E10/12*(1+Parametros!$B$9))</f>
        <v/>
      </c>
      <c r="I10" s="6">
        <f>IF(G10="","",G10*(Parametros!$B$7+Parametros!$B$8))</f>
        <v/>
      </c>
      <c r="J10" s="6">
        <f>IF(H10="","",H10*(Parametros!$B$7+Parametros!$B$8))</f>
        <v/>
      </c>
      <c r="K10" s="6">
        <f>IF(E10="","",E10*Parametros!$B$6*(Parametros!$B$4+Parametros!$B$5))</f>
        <v/>
      </c>
      <c r="L10" s="6">
        <f>IF(E10="","",SUM(G10:K10))</f>
        <v/>
      </c>
    </row>
    <row r="11">
      <c r="A11" s="3" t="inlineStr">
        <is>
          <t>002/2025</t>
        </is>
      </c>
      <c r="B11" s="3" t="inlineStr">
        <is>
          <t>L-002</t>
        </is>
      </c>
      <c r="C11" s="3" t="inlineStr">
        <is>
          <t>Limpeza 2</t>
        </is>
      </c>
      <c r="D11" s="3" t="inlineStr">
        <is>
          <t>Aux. Limpeza</t>
        </is>
      </c>
      <c r="E11" s="6" t="n">
        <v>1800</v>
      </c>
      <c r="F11" s="5" t="n">
        <v>45660</v>
      </c>
      <c r="G11" s="6">
        <f>IF(E11="","",E11/12)</f>
        <v/>
      </c>
      <c r="H11" s="6">
        <f>IF(E11="","",E11/12*(1+Parametros!$B$9))</f>
        <v/>
      </c>
      <c r="I11" s="6">
        <f>IF(G11="","",G11*(Parametros!$B$7+Parametros!$B$8))</f>
        <v/>
      </c>
      <c r="J11" s="6">
        <f>IF(H11="","",H11*(Parametros!$B$7+Parametros!$B$8))</f>
        <v/>
      </c>
      <c r="K11" s="6">
        <f>IF(E11="","",E11*Parametros!$B$6*(Parametros!$B$4+Parametros!$B$5))</f>
        <v/>
      </c>
      <c r="L11" s="6">
        <f>IF(E11="","",SUM(G11:K11))</f>
        <v/>
      </c>
    </row>
    <row r="12">
      <c r="A12" s="3" t="inlineStr">
        <is>
          <t>002/2025</t>
        </is>
      </c>
      <c r="B12" s="3" t="inlineStr">
        <is>
          <t>L-003</t>
        </is>
      </c>
      <c r="C12" s="3" t="inlineStr">
        <is>
          <t>Limpeza 3</t>
        </is>
      </c>
      <c r="D12" s="3" t="inlineStr">
        <is>
          <t>Aux. Limpeza</t>
        </is>
      </c>
      <c r="E12" s="6" t="n">
        <v>1800</v>
      </c>
      <c r="F12" s="5" t="n">
        <v>45660</v>
      </c>
      <c r="G12" s="6">
        <f>IF(E12="","",E12/12)</f>
        <v/>
      </c>
      <c r="H12" s="6">
        <f>IF(E12="","",E12/12*(1+Parametros!$B$9))</f>
        <v/>
      </c>
      <c r="I12" s="6">
        <f>IF(G12="","",G12*(Parametros!$B$7+Parametros!$B$8))</f>
        <v/>
      </c>
      <c r="J12" s="6">
        <f>IF(H12="","",H12*(Parametros!$B$7+Parametros!$B$8))</f>
        <v/>
      </c>
      <c r="K12" s="6">
        <f>IF(E12="","",E12*Parametros!$B$6*(Parametros!$B$4+Parametros!$B$5))</f>
        <v/>
      </c>
      <c r="L12" s="6">
        <f>IF(E12="","",SUM(G12:K12))</f>
        <v/>
      </c>
    </row>
    <row r="13">
      <c r="A13" s="3" t="inlineStr">
        <is>
          <t>002/2025</t>
        </is>
      </c>
      <c r="B13" s="3" t="inlineStr">
        <is>
          <t>L-004</t>
        </is>
      </c>
      <c r="C13" s="3" t="inlineStr">
        <is>
          <t>Limpeza 4</t>
        </is>
      </c>
      <c r="D13" s="3" t="inlineStr">
        <is>
          <t>Aux. Limpeza</t>
        </is>
      </c>
      <c r="E13" s="6" t="n">
        <v>1800</v>
      </c>
      <c r="F13" s="5" t="n">
        <v>45660</v>
      </c>
      <c r="G13" s="6">
        <f>IF(E13="","",E13/12)</f>
        <v/>
      </c>
      <c r="H13" s="6">
        <f>IF(E13="","",E13/12*(1+Parametros!$B$9))</f>
        <v/>
      </c>
      <c r="I13" s="6">
        <f>IF(G13="","",G13*(Parametros!$B$7+Parametros!$B$8))</f>
        <v/>
      </c>
      <c r="J13" s="6">
        <f>IF(H13="","",H13*(Parametros!$B$7+Parametros!$B$8))</f>
        <v/>
      </c>
      <c r="K13" s="6">
        <f>IF(E13="","",E13*Parametros!$B$6*(Parametros!$B$4+Parametros!$B$5))</f>
        <v/>
      </c>
      <c r="L13" s="6">
        <f>IF(E13="","",SUM(G13:K13))</f>
        <v/>
      </c>
    </row>
    <row r="14">
      <c r="E14" s="8" t="n"/>
      <c r="G14" s="6">
        <f>IF(E14="","",E14/12)</f>
        <v/>
      </c>
      <c r="H14" s="6">
        <f>IF(E14="","",E14/12*(1+Parametros!$B$9))</f>
        <v/>
      </c>
      <c r="I14" s="6">
        <f>IF(G14="","",G14*(Parametros!$B$7+Parametros!$B$8))</f>
        <v/>
      </c>
      <c r="J14" s="6">
        <f>IF(H14="","",H14*(Parametros!$B$7+Parametros!$B$8))</f>
        <v/>
      </c>
      <c r="K14" s="6">
        <f>IF(E14="","",E14*Parametros!$B$6*(Parametros!$B$4+Parametros!$B$5))</f>
        <v/>
      </c>
      <c r="L14" s="6">
        <f>IF(E14="","",SUM(G14:K14))</f>
        <v/>
      </c>
    </row>
    <row r="15">
      <c r="E15" s="8" t="n"/>
      <c r="G15" s="6">
        <f>IF(E15="","",E15/12)</f>
        <v/>
      </c>
      <c r="H15" s="6">
        <f>IF(E15="","",E15/12*(1+Parametros!$B$9))</f>
        <v/>
      </c>
      <c r="I15" s="6">
        <f>IF(G15="","",G15*(Parametros!$B$7+Parametros!$B$8))</f>
        <v/>
      </c>
      <c r="J15" s="6">
        <f>IF(H15="","",H15*(Parametros!$B$7+Parametros!$B$8))</f>
        <v/>
      </c>
      <c r="K15" s="6">
        <f>IF(E15="","",E15*Parametros!$B$6*(Parametros!$B$4+Parametros!$B$5))</f>
        <v/>
      </c>
      <c r="L15" s="6">
        <f>IF(E15="","",SUM(G15:K15))</f>
        <v/>
      </c>
    </row>
    <row r="16">
      <c r="E16" s="8" t="n"/>
      <c r="G16" s="6">
        <f>IF(E16="","",E16/12)</f>
        <v/>
      </c>
      <c r="H16" s="6">
        <f>IF(E16="","",E16/12*(1+Parametros!$B$9))</f>
        <v/>
      </c>
      <c r="I16" s="6">
        <f>IF(G16="","",G16*(Parametros!$B$7+Parametros!$B$8))</f>
        <v/>
      </c>
      <c r="J16" s="6">
        <f>IF(H16="","",H16*(Parametros!$B$7+Parametros!$B$8))</f>
        <v/>
      </c>
      <c r="K16" s="6">
        <f>IF(E16="","",E16*Parametros!$B$6*(Parametros!$B$4+Parametros!$B$5))</f>
        <v/>
      </c>
      <c r="L16" s="6">
        <f>IF(E16="","",SUM(G16:K16))</f>
        <v/>
      </c>
    </row>
    <row r="17">
      <c r="E17" s="8" t="n"/>
      <c r="G17" s="6">
        <f>IF(E17="","",E17/12)</f>
        <v/>
      </c>
      <c r="H17" s="6">
        <f>IF(E17="","",E17/12*(1+Parametros!$B$9))</f>
        <v/>
      </c>
      <c r="I17" s="6">
        <f>IF(G17="","",G17*(Parametros!$B$7+Parametros!$B$8))</f>
        <v/>
      </c>
      <c r="J17" s="6">
        <f>IF(H17="","",H17*(Parametros!$B$7+Parametros!$B$8))</f>
        <v/>
      </c>
      <c r="K17" s="6">
        <f>IF(E17="","",E17*Parametros!$B$6*(Parametros!$B$4+Parametros!$B$5))</f>
        <v/>
      </c>
      <c r="L17" s="6">
        <f>IF(E17="","",SUM(G17:K17))</f>
        <v/>
      </c>
    </row>
    <row r="18">
      <c r="E18" s="8" t="n"/>
      <c r="G18" s="6">
        <f>IF(E18="","",E18/12)</f>
        <v/>
      </c>
      <c r="H18" s="6">
        <f>IF(E18="","",E18/12*(1+Parametros!$B$9))</f>
        <v/>
      </c>
      <c r="I18" s="6">
        <f>IF(G18="","",G18*(Parametros!$B$7+Parametros!$B$8))</f>
        <v/>
      </c>
      <c r="J18" s="6">
        <f>IF(H18="","",H18*(Parametros!$B$7+Parametros!$B$8))</f>
        <v/>
      </c>
      <c r="K18" s="6">
        <f>IF(E18="","",E18*Parametros!$B$6*(Parametros!$B$4+Parametros!$B$5))</f>
        <v/>
      </c>
      <c r="L18" s="6">
        <f>IF(E18="","",SUM(G18:K18))</f>
        <v/>
      </c>
    </row>
    <row r="19">
      <c r="E19" s="8" t="n"/>
      <c r="G19" s="6">
        <f>IF(E19="","",E19/12)</f>
        <v/>
      </c>
      <c r="H19" s="6">
        <f>IF(E19="","",E19/12*(1+Parametros!$B$9))</f>
        <v/>
      </c>
      <c r="I19" s="6">
        <f>IF(G19="","",G19*(Parametros!$B$7+Parametros!$B$8))</f>
        <v/>
      </c>
      <c r="J19" s="6">
        <f>IF(H19="","",H19*(Parametros!$B$7+Parametros!$B$8))</f>
        <v/>
      </c>
      <c r="K19" s="6">
        <f>IF(E19="","",E19*Parametros!$B$6*(Parametros!$B$4+Parametros!$B$5))</f>
        <v/>
      </c>
      <c r="L19" s="6">
        <f>IF(E19="","",SUM(G19:K19))</f>
        <v/>
      </c>
    </row>
    <row r="20">
      <c r="E20" s="8" t="n"/>
      <c r="G20" s="6">
        <f>IF(E20="","",E20/12)</f>
        <v/>
      </c>
      <c r="H20" s="6">
        <f>IF(E20="","",E20/12*(1+Parametros!$B$9))</f>
        <v/>
      </c>
      <c r="I20" s="6">
        <f>IF(G20="","",G20*(Parametros!$B$7+Parametros!$B$8))</f>
        <v/>
      </c>
      <c r="J20" s="6">
        <f>IF(H20="","",H20*(Parametros!$B$7+Parametros!$B$8))</f>
        <v/>
      </c>
      <c r="K20" s="6">
        <f>IF(E20="","",E20*Parametros!$B$6*(Parametros!$B$4+Parametros!$B$5))</f>
        <v/>
      </c>
      <c r="L20" s="6">
        <f>IF(E20="","",SUM(G20:K20))</f>
        <v/>
      </c>
    </row>
    <row r="21">
      <c r="E21" s="8" t="n"/>
      <c r="G21" s="6">
        <f>IF(E21="","",E21/12)</f>
        <v/>
      </c>
      <c r="H21" s="6">
        <f>IF(E21="","",E21/12*(1+Parametros!$B$9))</f>
        <v/>
      </c>
      <c r="I21" s="6">
        <f>IF(G21="","",G21*(Parametros!$B$7+Parametros!$B$8))</f>
        <v/>
      </c>
      <c r="J21" s="6">
        <f>IF(H21="","",H21*(Parametros!$B$7+Parametros!$B$8))</f>
        <v/>
      </c>
      <c r="K21" s="6">
        <f>IF(E21="","",E21*Parametros!$B$6*(Parametros!$B$4+Parametros!$B$5))</f>
        <v/>
      </c>
      <c r="L21" s="6">
        <f>IF(E21="","",SUM(G21:K21))</f>
        <v/>
      </c>
    </row>
    <row r="22">
      <c r="E22" s="8" t="n"/>
      <c r="G22" s="6">
        <f>IF(E22="","",E22/12)</f>
        <v/>
      </c>
      <c r="H22" s="6">
        <f>IF(E22="","",E22/12*(1+Parametros!$B$9))</f>
        <v/>
      </c>
      <c r="I22" s="6">
        <f>IF(G22="","",G22*(Parametros!$B$7+Parametros!$B$8))</f>
        <v/>
      </c>
      <c r="J22" s="6">
        <f>IF(H22="","",H22*(Parametros!$B$7+Parametros!$B$8))</f>
        <v/>
      </c>
      <c r="K22" s="6">
        <f>IF(E22="","",E22*Parametros!$B$6*(Parametros!$B$4+Parametros!$B$5))</f>
        <v/>
      </c>
      <c r="L22" s="6">
        <f>IF(E22="","",SUM(G22:K22))</f>
        <v/>
      </c>
    </row>
    <row r="23">
      <c r="E23" s="8" t="n"/>
      <c r="G23" s="6">
        <f>IF(E23="","",E23/12)</f>
        <v/>
      </c>
      <c r="H23" s="6">
        <f>IF(E23="","",E23/12*(1+Parametros!$B$9))</f>
        <v/>
      </c>
      <c r="I23" s="6">
        <f>IF(G23="","",G23*(Parametros!$B$7+Parametros!$B$8))</f>
        <v/>
      </c>
      <c r="J23" s="6">
        <f>IF(H23="","",H23*(Parametros!$B$7+Parametros!$B$8))</f>
        <v/>
      </c>
      <c r="K23" s="6">
        <f>IF(E23="","",E23*Parametros!$B$6*(Parametros!$B$4+Parametros!$B$5))</f>
        <v/>
      </c>
      <c r="L23" s="6">
        <f>IF(E23="","",SUM(G23:K23))</f>
        <v/>
      </c>
    </row>
    <row r="24">
      <c r="E24" s="8" t="n"/>
      <c r="G24" s="6">
        <f>IF(E24="","",E24/12)</f>
        <v/>
      </c>
      <c r="H24" s="6">
        <f>IF(E24="","",E24/12*(1+Parametros!$B$9))</f>
        <v/>
      </c>
      <c r="I24" s="6">
        <f>IF(G24="","",G24*(Parametros!$B$7+Parametros!$B$8))</f>
        <v/>
      </c>
      <c r="J24" s="6">
        <f>IF(H24="","",H24*(Parametros!$B$7+Parametros!$B$8))</f>
        <v/>
      </c>
      <c r="K24" s="6">
        <f>IF(E24="","",E24*Parametros!$B$6*(Parametros!$B$4+Parametros!$B$5))</f>
        <v/>
      </c>
      <c r="L24" s="6">
        <f>IF(E24="","",SUM(G24:K24))</f>
        <v/>
      </c>
    </row>
    <row r="25">
      <c r="E25" s="8" t="n"/>
      <c r="G25" s="6">
        <f>IF(E25="","",E25/12)</f>
        <v/>
      </c>
      <c r="H25" s="6">
        <f>IF(E25="","",E25/12*(1+Parametros!$B$9))</f>
        <v/>
      </c>
      <c r="I25" s="6">
        <f>IF(G25="","",G25*(Parametros!$B$7+Parametros!$B$8))</f>
        <v/>
      </c>
      <c r="J25" s="6">
        <f>IF(H25="","",H25*(Parametros!$B$7+Parametros!$B$8))</f>
        <v/>
      </c>
      <c r="K25" s="6">
        <f>IF(E25="","",E25*Parametros!$B$6*(Parametros!$B$4+Parametros!$B$5))</f>
        <v/>
      </c>
      <c r="L25" s="6">
        <f>IF(E25="","",SUM(G25:K25))</f>
        <v/>
      </c>
    </row>
    <row r="26">
      <c r="E26" s="8" t="n"/>
      <c r="G26" s="6">
        <f>IF(E26="","",E26/12)</f>
        <v/>
      </c>
      <c r="H26" s="6">
        <f>IF(E26="","",E26/12*(1+Parametros!$B$9))</f>
        <v/>
      </c>
      <c r="I26" s="6">
        <f>IF(G26="","",G26*(Parametros!$B$7+Parametros!$B$8))</f>
        <v/>
      </c>
      <c r="J26" s="6">
        <f>IF(H26="","",H26*(Parametros!$B$7+Parametros!$B$8))</f>
        <v/>
      </c>
      <c r="K26" s="6">
        <f>IF(E26="","",E26*Parametros!$B$6*(Parametros!$B$4+Parametros!$B$5))</f>
        <v/>
      </c>
      <c r="L26" s="6">
        <f>IF(E26="","",SUM(G26:K26))</f>
        <v/>
      </c>
    </row>
    <row r="27">
      <c r="E27" s="8" t="n"/>
      <c r="G27" s="6">
        <f>IF(E27="","",E27/12)</f>
        <v/>
      </c>
      <c r="H27" s="6">
        <f>IF(E27="","",E27/12*(1+Parametros!$B$9))</f>
        <v/>
      </c>
      <c r="I27" s="6">
        <f>IF(G27="","",G27*(Parametros!$B$7+Parametros!$B$8))</f>
        <v/>
      </c>
      <c r="J27" s="6">
        <f>IF(H27="","",H27*(Parametros!$B$7+Parametros!$B$8))</f>
        <v/>
      </c>
      <c r="K27" s="6">
        <f>IF(E27="","",E27*Parametros!$B$6*(Parametros!$B$4+Parametros!$B$5))</f>
        <v/>
      </c>
      <c r="L27" s="6">
        <f>IF(E27="","",SUM(G27:K27))</f>
        <v/>
      </c>
    </row>
    <row r="28">
      <c r="E28" s="8" t="n"/>
      <c r="G28" s="6">
        <f>IF(E28="","",E28/12)</f>
        <v/>
      </c>
      <c r="H28" s="6">
        <f>IF(E28="","",E28/12*(1+Parametros!$B$9))</f>
        <v/>
      </c>
      <c r="I28" s="6">
        <f>IF(G28="","",G28*(Parametros!$B$7+Parametros!$B$8))</f>
        <v/>
      </c>
      <c r="J28" s="6">
        <f>IF(H28="","",H28*(Parametros!$B$7+Parametros!$B$8))</f>
        <v/>
      </c>
      <c r="K28" s="6">
        <f>IF(E28="","",E28*Parametros!$B$6*(Parametros!$B$4+Parametros!$B$5))</f>
        <v/>
      </c>
      <c r="L28" s="6">
        <f>IF(E28="","",SUM(G28:K28))</f>
        <v/>
      </c>
    </row>
    <row r="29">
      <c r="E29" s="8" t="n"/>
      <c r="G29" s="6">
        <f>IF(E29="","",E29/12)</f>
        <v/>
      </c>
      <c r="H29" s="6">
        <f>IF(E29="","",E29/12*(1+Parametros!$B$9))</f>
        <v/>
      </c>
      <c r="I29" s="6">
        <f>IF(G29="","",G29*(Parametros!$B$7+Parametros!$B$8))</f>
        <v/>
      </c>
      <c r="J29" s="6">
        <f>IF(H29="","",H29*(Parametros!$B$7+Parametros!$B$8))</f>
        <v/>
      </c>
      <c r="K29" s="6">
        <f>IF(E29="","",E29*Parametros!$B$6*(Parametros!$B$4+Parametros!$B$5))</f>
        <v/>
      </c>
      <c r="L29" s="6">
        <f>IF(E29="","",SUM(G29:K29))</f>
        <v/>
      </c>
    </row>
    <row r="30">
      <c r="E30" s="8" t="n"/>
      <c r="G30" s="6">
        <f>IF(E30="","",E30/12)</f>
        <v/>
      </c>
      <c r="H30" s="6">
        <f>IF(E30="","",E30/12*(1+Parametros!$B$9))</f>
        <v/>
      </c>
      <c r="I30" s="6">
        <f>IF(G30="","",G30*(Parametros!$B$7+Parametros!$B$8))</f>
        <v/>
      </c>
      <c r="J30" s="6">
        <f>IF(H30="","",H30*(Parametros!$B$7+Parametros!$B$8))</f>
        <v/>
      </c>
      <c r="K30" s="6">
        <f>IF(E30="","",E30*Parametros!$B$6*(Parametros!$B$4+Parametros!$B$5))</f>
        <v/>
      </c>
      <c r="L30" s="6">
        <f>IF(E30="","",SUM(G30:K30))</f>
        <v/>
      </c>
    </row>
    <row r="31">
      <c r="E31" s="8" t="n"/>
      <c r="G31" s="6">
        <f>IF(E31="","",E31/12)</f>
        <v/>
      </c>
      <c r="H31" s="6">
        <f>IF(E31="","",E31/12*(1+Parametros!$B$9))</f>
        <v/>
      </c>
      <c r="I31" s="6">
        <f>IF(G31="","",G31*(Parametros!$B$7+Parametros!$B$8))</f>
        <v/>
      </c>
      <c r="J31" s="6">
        <f>IF(H31="","",H31*(Parametros!$B$7+Parametros!$B$8))</f>
        <v/>
      </c>
      <c r="K31" s="6">
        <f>IF(E31="","",E31*Parametros!$B$6*(Parametros!$B$4+Parametros!$B$5))</f>
        <v/>
      </c>
      <c r="L31" s="6">
        <f>IF(E31="","",SUM(G31:K31))</f>
        <v/>
      </c>
    </row>
    <row r="32">
      <c r="E32" s="8" t="n"/>
      <c r="G32" s="6">
        <f>IF(E32="","",E32/12)</f>
        <v/>
      </c>
      <c r="H32" s="6">
        <f>IF(E32="","",E32/12*(1+Parametros!$B$9))</f>
        <v/>
      </c>
      <c r="I32" s="6">
        <f>IF(G32="","",G32*(Parametros!$B$7+Parametros!$B$8))</f>
        <v/>
      </c>
      <c r="J32" s="6">
        <f>IF(H32="","",H32*(Parametros!$B$7+Parametros!$B$8))</f>
        <v/>
      </c>
      <c r="K32" s="6">
        <f>IF(E32="","",E32*Parametros!$B$6*(Parametros!$B$4+Parametros!$B$5))</f>
        <v/>
      </c>
      <c r="L32" s="6">
        <f>IF(E32="","",SUM(G32:K32))</f>
        <v/>
      </c>
    </row>
    <row r="33">
      <c r="E33" s="8" t="n"/>
      <c r="G33" s="6">
        <f>IF(E33="","",E33/12)</f>
        <v/>
      </c>
      <c r="H33" s="6">
        <f>IF(E33="","",E33/12*(1+Parametros!$B$9))</f>
        <v/>
      </c>
      <c r="I33" s="6">
        <f>IF(G33="","",G33*(Parametros!$B$7+Parametros!$B$8))</f>
        <v/>
      </c>
      <c r="J33" s="6">
        <f>IF(H33="","",H33*(Parametros!$B$7+Parametros!$B$8))</f>
        <v/>
      </c>
      <c r="K33" s="6">
        <f>IF(E33="","",E33*Parametros!$B$6*(Parametros!$B$4+Parametros!$B$5))</f>
        <v/>
      </c>
      <c r="L33" s="6">
        <f>IF(E33="","",SUM(G33:K33))</f>
        <v/>
      </c>
    </row>
    <row r="34">
      <c r="E34" s="8" t="n"/>
      <c r="G34" s="6">
        <f>IF(E34="","",E34/12)</f>
        <v/>
      </c>
      <c r="H34" s="6">
        <f>IF(E34="","",E34/12*(1+Parametros!$B$9))</f>
        <v/>
      </c>
      <c r="I34" s="6">
        <f>IF(G34="","",G34*(Parametros!$B$7+Parametros!$B$8))</f>
        <v/>
      </c>
      <c r="J34" s="6">
        <f>IF(H34="","",H34*(Parametros!$B$7+Parametros!$B$8))</f>
        <v/>
      </c>
      <c r="K34" s="6">
        <f>IF(E34="","",E34*Parametros!$B$6*(Parametros!$B$4+Parametros!$B$5))</f>
        <v/>
      </c>
      <c r="L34" s="6">
        <f>IF(E34="","",SUM(G34:K34))</f>
        <v/>
      </c>
    </row>
    <row r="35">
      <c r="E35" s="8" t="n"/>
      <c r="G35" s="6">
        <f>IF(E35="","",E35/12)</f>
        <v/>
      </c>
      <c r="H35" s="6">
        <f>IF(E35="","",E35/12*(1+Parametros!$B$9))</f>
        <v/>
      </c>
      <c r="I35" s="6">
        <f>IF(G35="","",G35*(Parametros!$B$7+Parametros!$B$8))</f>
        <v/>
      </c>
      <c r="J35" s="6">
        <f>IF(H35="","",H35*(Parametros!$B$7+Parametros!$B$8))</f>
        <v/>
      </c>
      <c r="K35" s="6">
        <f>IF(E35="","",E35*Parametros!$B$6*(Parametros!$B$4+Parametros!$B$5))</f>
        <v/>
      </c>
      <c r="L35" s="6">
        <f>IF(E35="","",SUM(G35:K35))</f>
        <v/>
      </c>
    </row>
    <row r="36">
      <c r="E36" s="8" t="n"/>
      <c r="G36" s="6">
        <f>IF(E36="","",E36/12)</f>
        <v/>
      </c>
      <c r="H36" s="6">
        <f>IF(E36="","",E36/12*(1+Parametros!$B$9))</f>
        <v/>
      </c>
      <c r="I36" s="6">
        <f>IF(G36="","",G36*(Parametros!$B$7+Parametros!$B$8))</f>
        <v/>
      </c>
      <c r="J36" s="6">
        <f>IF(H36="","",H36*(Parametros!$B$7+Parametros!$B$8))</f>
        <v/>
      </c>
      <c r="K36" s="6">
        <f>IF(E36="","",E36*Parametros!$B$6*(Parametros!$B$4+Parametros!$B$5))</f>
        <v/>
      </c>
      <c r="L36" s="6">
        <f>IF(E36="","",SUM(G36:K36))</f>
        <v/>
      </c>
    </row>
    <row r="37">
      <c r="E37" s="8" t="n"/>
      <c r="G37" s="6">
        <f>IF(E37="","",E37/12)</f>
        <v/>
      </c>
      <c r="H37" s="6">
        <f>IF(E37="","",E37/12*(1+Parametros!$B$9))</f>
        <v/>
      </c>
      <c r="I37" s="6">
        <f>IF(G37="","",G37*(Parametros!$B$7+Parametros!$B$8))</f>
        <v/>
      </c>
      <c r="J37" s="6">
        <f>IF(H37="","",H37*(Parametros!$B$7+Parametros!$B$8))</f>
        <v/>
      </c>
      <c r="K37" s="6">
        <f>IF(E37="","",E37*Parametros!$B$6*(Parametros!$B$4+Parametros!$B$5))</f>
        <v/>
      </c>
      <c r="L37" s="6">
        <f>IF(E37="","",SUM(G37:K37))</f>
        <v/>
      </c>
    </row>
    <row r="38">
      <c r="E38" s="8" t="n"/>
      <c r="G38" s="6">
        <f>IF(E38="","",E38/12)</f>
        <v/>
      </c>
      <c r="H38" s="6">
        <f>IF(E38="","",E38/12*(1+Parametros!$B$9))</f>
        <v/>
      </c>
      <c r="I38" s="6">
        <f>IF(G38="","",G38*(Parametros!$B$7+Parametros!$B$8))</f>
        <v/>
      </c>
      <c r="J38" s="6">
        <f>IF(H38="","",H38*(Parametros!$B$7+Parametros!$B$8))</f>
        <v/>
      </c>
      <c r="K38" s="6">
        <f>IF(E38="","",E38*Parametros!$B$6*(Parametros!$B$4+Parametros!$B$5))</f>
        <v/>
      </c>
      <c r="L38" s="6">
        <f>IF(E38="","",SUM(G38:K38))</f>
        <v/>
      </c>
    </row>
    <row r="39">
      <c r="E39" s="8" t="n"/>
      <c r="G39" s="6">
        <f>IF(E39="","",E39/12)</f>
        <v/>
      </c>
      <c r="H39" s="6">
        <f>IF(E39="","",E39/12*(1+Parametros!$B$9))</f>
        <v/>
      </c>
      <c r="I39" s="6">
        <f>IF(G39="","",G39*(Parametros!$B$7+Parametros!$B$8))</f>
        <v/>
      </c>
      <c r="J39" s="6">
        <f>IF(H39="","",H39*(Parametros!$B$7+Parametros!$B$8))</f>
        <v/>
      </c>
      <c r="K39" s="6">
        <f>IF(E39="","",E39*Parametros!$B$6*(Parametros!$B$4+Parametros!$B$5))</f>
        <v/>
      </c>
      <c r="L39" s="6">
        <f>IF(E39="","",SUM(G39:K39))</f>
        <v/>
      </c>
    </row>
    <row r="40">
      <c r="E40" s="8" t="n"/>
      <c r="G40" s="6">
        <f>IF(E40="","",E40/12)</f>
        <v/>
      </c>
      <c r="H40" s="6">
        <f>IF(E40="","",E40/12*(1+Parametros!$B$9))</f>
        <v/>
      </c>
      <c r="I40" s="6">
        <f>IF(G40="","",G40*(Parametros!$B$7+Parametros!$B$8))</f>
        <v/>
      </c>
      <c r="J40" s="6">
        <f>IF(H40="","",H40*(Parametros!$B$7+Parametros!$B$8))</f>
        <v/>
      </c>
      <c r="K40" s="6">
        <f>IF(E40="","",E40*Parametros!$B$6*(Parametros!$B$4+Parametros!$B$5))</f>
        <v/>
      </c>
      <c r="L40" s="6">
        <f>IF(E40="","",SUM(G40:K40))</f>
        <v/>
      </c>
    </row>
    <row r="41">
      <c r="E41" s="8" t="n"/>
      <c r="G41" s="6">
        <f>IF(E41="","",E41/12)</f>
        <v/>
      </c>
      <c r="H41" s="6">
        <f>IF(E41="","",E41/12*(1+Parametros!$B$9))</f>
        <v/>
      </c>
      <c r="I41" s="6">
        <f>IF(G41="","",G41*(Parametros!$B$7+Parametros!$B$8))</f>
        <v/>
      </c>
      <c r="J41" s="6">
        <f>IF(H41="","",H41*(Parametros!$B$7+Parametros!$B$8))</f>
        <v/>
      </c>
      <c r="K41" s="6">
        <f>IF(E41="","",E41*Parametros!$B$6*(Parametros!$B$4+Parametros!$B$5))</f>
        <v/>
      </c>
      <c r="L41" s="6">
        <f>IF(E41="","",SUM(G41:K41))</f>
        <v/>
      </c>
    </row>
    <row r="42">
      <c r="E42" s="8" t="n"/>
      <c r="G42" s="6">
        <f>IF(E42="","",E42/12)</f>
        <v/>
      </c>
      <c r="H42" s="6">
        <f>IF(E42="","",E42/12*(1+Parametros!$B$9))</f>
        <v/>
      </c>
      <c r="I42" s="6">
        <f>IF(G42="","",G42*(Parametros!$B$7+Parametros!$B$8))</f>
        <v/>
      </c>
      <c r="J42" s="6">
        <f>IF(H42="","",H42*(Parametros!$B$7+Parametros!$B$8))</f>
        <v/>
      </c>
      <c r="K42" s="6">
        <f>IF(E42="","",E42*Parametros!$B$6*(Parametros!$B$4+Parametros!$B$5))</f>
        <v/>
      </c>
      <c r="L42" s="6">
        <f>IF(E42="","",SUM(G42:K42))</f>
        <v/>
      </c>
    </row>
    <row r="43">
      <c r="E43" s="8" t="n"/>
      <c r="G43" s="6">
        <f>IF(E43="","",E43/12)</f>
        <v/>
      </c>
      <c r="H43" s="6">
        <f>IF(E43="","",E43/12*(1+Parametros!$B$9))</f>
        <v/>
      </c>
      <c r="I43" s="6">
        <f>IF(G43="","",G43*(Parametros!$B$7+Parametros!$B$8))</f>
        <v/>
      </c>
      <c r="J43" s="6">
        <f>IF(H43="","",H43*(Parametros!$B$7+Parametros!$B$8))</f>
        <v/>
      </c>
      <c r="K43" s="6">
        <f>IF(E43="","",E43*Parametros!$B$6*(Parametros!$B$4+Parametros!$B$5))</f>
        <v/>
      </c>
      <c r="L43" s="6">
        <f>IF(E43="","",SUM(G43:K43))</f>
        <v/>
      </c>
    </row>
    <row r="44">
      <c r="E44" s="8" t="n"/>
      <c r="G44" s="6">
        <f>IF(E44="","",E44/12)</f>
        <v/>
      </c>
      <c r="H44" s="6">
        <f>IF(E44="","",E44/12*(1+Parametros!$B$9))</f>
        <v/>
      </c>
      <c r="I44" s="6">
        <f>IF(G44="","",G44*(Parametros!$B$7+Parametros!$B$8))</f>
        <v/>
      </c>
      <c r="J44" s="6">
        <f>IF(H44="","",H44*(Parametros!$B$7+Parametros!$B$8))</f>
        <v/>
      </c>
      <c r="K44" s="6">
        <f>IF(E44="","",E44*Parametros!$B$6*(Parametros!$B$4+Parametros!$B$5))</f>
        <v/>
      </c>
      <c r="L44" s="6">
        <f>IF(E44="","",SUM(G44:K44))</f>
        <v/>
      </c>
    </row>
    <row r="45">
      <c r="E45" s="8" t="n"/>
      <c r="G45" s="6">
        <f>IF(E45="","",E45/12)</f>
        <v/>
      </c>
      <c r="H45" s="6">
        <f>IF(E45="","",E45/12*(1+Parametros!$B$9))</f>
        <v/>
      </c>
      <c r="I45" s="6">
        <f>IF(G45="","",G45*(Parametros!$B$7+Parametros!$B$8))</f>
        <v/>
      </c>
      <c r="J45" s="6">
        <f>IF(H45="","",H45*(Parametros!$B$7+Parametros!$B$8))</f>
        <v/>
      </c>
      <c r="K45" s="6">
        <f>IF(E45="","",E45*Parametros!$B$6*(Parametros!$B$4+Parametros!$B$5))</f>
        <v/>
      </c>
      <c r="L45" s="6">
        <f>IF(E45="","",SUM(G45:K45))</f>
        <v/>
      </c>
    </row>
    <row r="46">
      <c r="E46" s="8" t="n"/>
      <c r="G46" s="6">
        <f>IF(E46="","",E46/12)</f>
        <v/>
      </c>
      <c r="H46" s="6">
        <f>IF(E46="","",E46/12*(1+Parametros!$B$9))</f>
        <v/>
      </c>
      <c r="I46" s="6">
        <f>IF(G46="","",G46*(Parametros!$B$7+Parametros!$B$8))</f>
        <v/>
      </c>
      <c r="J46" s="6">
        <f>IF(H46="","",H46*(Parametros!$B$7+Parametros!$B$8))</f>
        <v/>
      </c>
      <c r="K46" s="6">
        <f>IF(E46="","",E46*Parametros!$B$6*(Parametros!$B$4+Parametros!$B$5))</f>
        <v/>
      </c>
      <c r="L46" s="6">
        <f>IF(E46="","",SUM(G46:K46))</f>
        <v/>
      </c>
    </row>
    <row r="47">
      <c r="E47" s="8" t="n"/>
      <c r="G47" s="6">
        <f>IF(E47="","",E47/12)</f>
        <v/>
      </c>
      <c r="H47" s="6">
        <f>IF(E47="","",E47/12*(1+Parametros!$B$9))</f>
        <v/>
      </c>
      <c r="I47" s="6">
        <f>IF(G47="","",G47*(Parametros!$B$7+Parametros!$B$8))</f>
        <v/>
      </c>
      <c r="J47" s="6">
        <f>IF(H47="","",H47*(Parametros!$B$7+Parametros!$B$8))</f>
        <v/>
      </c>
      <c r="K47" s="6">
        <f>IF(E47="","",E47*Parametros!$B$6*(Parametros!$B$4+Parametros!$B$5))</f>
        <v/>
      </c>
      <c r="L47" s="6">
        <f>IF(E47="","",SUM(G47:K47))</f>
        <v/>
      </c>
    </row>
    <row r="48">
      <c r="E48" s="8" t="n"/>
      <c r="G48" s="6">
        <f>IF(E48="","",E48/12)</f>
        <v/>
      </c>
      <c r="H48" s="6">
        <f>IF(E48="","",E48/12*(1+Parametros!$B$9))</f>
        <v/>
      </c>
      <c r="I48" s="6">
        <f>IF(G48="","",G48*(Parametros!$B$7+Parametros!$B$8))</f>
        <v/>
      </c>
      <c r="J48" s="6">
        <f>IF(H48="","",H48*(Parametros!$B$7+Parametros!$B$8))</f>
        <v/>
      </c>
      <c r="K48" s="6">
        <f>IF(E48="","",E48*Parametros!$B$6*(Parametros!$B$4+Parametros!$B$5))</f>
        <v/>
      </c>
      <c r="L48" s="6">
        <f>IF(E48="","",SUM(G48:K48))</f>
        <v/>
      </c>
    </row>
    <row r="49">
      <c r="E49" s="8" t="n"/>
      <c r="G49" s="6">
        <f>IF(E49="","",E49/12)</f>
        <v/>
      </c>
      <c r="H49" s="6">
        <f>IF(E49="","",E49/12*(1+Parametros!$B$9))</f>
        <v/>
      </c>
      <c r="I49" s="6">
        <f>IF(G49="","",G49*(Parametros!$B$7+Parametros!$B$8))</f>
        <v/>
      </c>
      <c r="J49" s="6">
        <f>IF(H49="","",H49*(Parametros!$B$7+Parametros!$B$8))</f>
        <v/>
      </c>
      <c r="K49" s="6">
        <f>IF(E49="","",E49*Parametros!$B$6*(Parametros!$B$4+Parametros!$B$5))</f>
        <v/>
      </c>
      <c r="L49" s="6">
        <f>IF(E49="","",SUM(G49:K49))</f>
        <v/>
      </c>
    </row>
    <row r="50">
      <c r="E50" s="8" t="n"/>
      <c r="G50" s="6">
        <f>IF(E50="","",E50/12)</f>
        <v/>
      </c>
      <c r="H50" s="6">
        <f>IF(E50="","",E50/12*(1+Parametros!$B$9))</f>
        <v/>
      </c>
      <c r="I50" s="6">
        <f>IF(G50="","",G50*(Parametros!$B$7+Parametros!$B$8))</f>
        <v/>
      </c>
      <c r="J50" s="6">
        <f>IF(H50="","",H50*(Parametros!$B$7+Parametros!$B$8))</f>
        <v/>
      </c>
      <c r="K50" s="6">
        <f>IF(E50="","",E50*Parametros!$B$6*(Parametros!$B$4+Parametros!$B$5))</f>
        <v/>
      </c>
      <c r="L50" s="6">
        <f>IF(E50="","",SUM(G50:K50))</f>
        <v/>
      </c>
    </row>
    <row r="51">
      <c r="E51" s="8" t="n"/>
      <c r="G51" s="6">
        <f>IF(E51="","",E51/12)</f>
        <v/>
      </c>
      <c r="H51" s="6">
        <f>IF(E51="","",E51/12*(1+Parametros!$B$9))</f>
        <v/>
      </c>
      <c r="I51" s="6">
        <f>IF(G51="","",G51*(Parametros!$B$7+Parametros!$B$8))</f>
        <v/>
      </c>
      <c r="J51" s="6">
        <f>IF(H51="","",H51*(Parametros!$B$7+Parametros!$B$8))</f>
        <v/>
      </c>
      <c r="K51" s="6">
        <f>IF(E51="","",E51*Parametros!$B$6*(Parametros!$B$4+Parametros!$B$5))</f>
        <v/>
      </c>
      <c r="L51" s="6">
        <f>IF(E51="","",SUM(G51:K51))</f>
        <v/>
      </c>
    </row>
    <row r="52">
      <c r="E52" s="8" t="n"/>
      <c r="G52" s="6">
        <f>IF(E52="","",E52/12)</f>
        <v/>
      </c>
      <c r="H52" s="6">
        <f>IF(E52="","",E52/12*(1+Parametros!$B$9))</f>
        <v/>
      </c>
      <c r="I52" s="6">
        <f>IF(G52="","",G52*(Parametros!$B$7+Parametros!$B$8))</f>
        <v/>
      </c>
      <c r="J52" s="6">
        <f>IF(H52="","",H52*(Parametros!$B$7+Parametros!$B$8))</f>
        <v/>
      </c>
      <c r="K52" s="6">
        <f>IF(E52="","",E52*Parametros!$B$6*(Parametros!$B$4+Parametros!$B$5))</f>
        <v/>
      </c>
      <c r="L52" s="6">
        <f>IF(E52="","",SUM(G52:K52))</f>
        <v/>
      </c>
    </row>
    <row r="53">
      <c r="E53" s="8" t="n"/>
      <c r="G53" s="6">
        <f>IF(E53="","",E53/12)</f>
        <v/>
      </c>
      <c r="H53" s="6">
        <f>IF(E53="","",E53/12*(1+Parametros!$B$9))</f>
        <v/>
      </c>
      <c r="I53" s="6">
        <f>IF(G53="","",G53*(Parametros!$B$7+Parametros!$B$8))</f>
        <v/>
      </c>
      <c r="J53" s="6">
        <f>IF(H53="","",H53*(Parametros!$B$7+Parametros!$B$8))</f>
        <v/>
      </c>
      <c r="K53" s="6">
        <f>IF(E53="","",E53*Parametros!$B$6*(Parametros!$B$4+Parametros!$B$5))</f>
        <v/>
      </c>
      <c r="L53" s="6">
        <f>IF(E53="","",SUM(G53:K53))</f>
        <v/>
      </c>
    </row>
    <row r="54">
      <c r="E54" s="8" t="n"/>
      <c r="G54" s="6">
        <f>IF(E54="","",E54/12)</f>
        <v/>
      </c>
      <c r="H54" s="6">
        <f>IF(E54="","",E54/12*(1+Parametros!$B$9))</f>
        <v/>
      </c>
      <c r="I54" s="6">
        <f>IF(G54="","",G54*(Parametros!$B$7+Parametros!$B$8))</f>
        <v/>
      </c>
      <c r="J54" s="6">
        <f>IF(H54="","",H54*(Parametros!$B$7+Parametros!$B$8))</f>
        <v/>
      </c>
      <c r="K54" s="6">
        <f>IF(E54="","",E54*Parametros!$B$6*(Parametros!$B$4+Parametros!$B$5))</f>
        <v/>
      </c>
      <c r="L54" s="6">
        <f>IF(E54="","",SUM(G54:K54))</f>
        <v/>
      </c>
    </row>
    <row r="55">
      <c r="E55" s="8" t="n"/>
      <c r="G55" s="6">
        <f>IF(E55="","",E55/12)</f>
        <v/>
      </c>
      <c r="H55" s="6">
        <f>IF(E55="","",E55/12*(1+Parametros!$B$9))</f>
        <v/>
      </c>
      <c r="I55" s="6">
        <f>IF(G55="","",G55*(Parametros!$B$7+Parametros!$B$8))</f>
        <v/>
      </c>
      <c r="J55" s="6">
        <f>IF(H55="","",H55*(Parametros!$B$7+Parametros!$B$8))</f>
        <v/>
      </c>
      <c r="K55" s="6">
        <f>IF(E55="","",E55*Parametros!$B$6*(Parametros!$B$4+Parametros!$B$5))</f>
        <v/>
      </c>
      <c r="L55" s="6">
        <f>IF(E55="","",SUM(G55:K55))</f>
        <v/>
      </c>
    </row>
    <row r="56">
      <c r="E56" s="8" t="n"/>
      <c r="G56" s="6">
        <f>IF(E56="","",E56/12)</f>
        <v/>
      </c>
      <c r="H56" s="6">
        <f>IF(E56="","",E56/12*(1+Parametros!$B$9))</f>
        <v/>
      </c>
      <c r="I56" s="6">
        <f>IF(G56="","",G56*(Parametros!$B$7+Parametros!$B$8))</f>
        <v/>
      </c>
      <c r="J56" s="6">
        <f>IF(H56="","",H56*(Parametros!$B$7+Parametros!$B$8))</f>
        <v/>
      </c>
      <c r="K56" s="6">
        <f>IF(E56="","",E56*Parametros!$B$6*(Parametros!$B$4+Parametros!$B$5))</f>
        <v/>
      </c>
      <c r="L56" s="6">
        <f>IF(E56="","",SUM(G56:K56))</f>
        <v/>
      </c>
    </row>
    <row r="57">
      <c r="E57" s="8" t="n"/>
      <c r="G57" s="6">
        <f>IF(E57="","",E57/12)</f>
        <v/>
      </c>
      <c r="H57" s="6">
        <f>IF(E57="","",E57/12*(1+Parametros!$B$9))</f>
        <v/>
      </c>
      <c r="I57" s="6">
        <f>IF(G57="","",G57*(Parametros!$B$7+Parametros!$B$8))</f>
        <v/>
      </c>
      <c r="J57" s="6">
        <f>IF(H57="","",H57*(Parametros!$B$7+Parametros!$B$8))</f>
        <v/>
      </c>
      <c r="K57" s="6">
        <f>IF(E57="","",E57*Parametros!$B$6*(Parametros!$B$4+Parametros!$B$5))</f>
        <v/>
      </c>
      <c r="L57" s="6">
        <f>IF(E57="","",SUM(G57:K57))</f>
        <v/>
      </c>
    </row>
    <row r="58">
      <c r="E58" s="8" t="n"/>
      <c r="G58" s="6">
        <f>IF(E58="","",E58/12)</f>
        <v/>
      </c>
      <c r="H58" s="6">
        <f>IF(E58="","",E58/12*(1+Parametros!$B$9))</f>
        <v/>
      </c>
      <c r="I58" s="6">
        <f>IF(G58="","",G58*(Parametros!$B$7+Parametros!$B$8))</f>
        <v/>
      </c>
      <c r="J58" s="6">
        <f>IF(H58="","",H58*(Parametros!$B$7+Parametros!$B$8))</f>
        <v/>
      </c>
      <c r="K58" s="6">
        <f>IF(E58="","",E58*Parametros!$B$6*(Parametros!$B$4+Parametros!$B$5))</f>
        <v/>
      </c>
      <c r="L58" s="6">
        <f>IF(E58="","",SUM(G58:K58))</f>
        <v/>
      </c>
    </row>
    <row r="59">
      <c r="E59" s="8" t="n"/>
      <c r="G59" s="6">
        <f>IF(E59="","",E59/12)</f>
        <v/>
      </c>
      <c r="H59" s="6">
        <f>IF(E59="","",E59/12*(1+Parametros!$B$9))</f>
        <v/>
      </c>
      <c r="I59" s="6">
        <f>IF(G59="","",G59*(Parametros!$B$7+Parametros!$B$8))</f>
        <v/>
      </c>
      <c r="J59" s="6">
        <f>IF(H59="","",H59*(Parametros!$B$7+Parametros!$B$8))</f>
        <v/>
      </c>
      <c r="K59" s="6">
        <f>IF(E59="","",E59*Parametros!$B$6*(Parametros!$B$4+Parametros!$B$5))</f>
        <v/>
      </c>
      <c r="L59" s="6">
        <f>IF(E59="","",SUM(G59:K59))</f>
        <v/>
      </c>
    </row>
    <row r="60">
      <c r="E60" s="8" t="n"/>
      <c r="G60" s="6">
        <f>IF(E60="","",E60/12)</f>
        <v/>
      </c>
      <c r="H60" s="6">
        <f>IF(E60="","",E60/12*(1+Parametros!$B$9))</f>
        <v/>
      </c>
      <c r="I60" s="6">
        <f>IF(G60="","",G60*(Parametros!$B$7+Parametros!$B$8))</f>
        <v/>
      </c>
      <c r="J60" s="6">
        <f>IF(H60="","",H60*(Parametros!$B$7+Parametros!$B$8))</f>
        <v/>
      </c>
      <c r="K60" s="6">
        <f>IF(E60="","",E60*Parametros!$B$6*(Parametros!$B$4+Parametros!$B$5))</f>
        <v/>
      </c>
      <c r="L60" s="6">
        <f>IF(E60="","",SUM(G60:K60))</f>
        <v/>
      </c>
    </row>
    <row r="61">
      <c r="E61" s="8" t="n"/>
      <c r="G61" s="6">
        <f>IF(E61="","",E61/12)</f>
        <v/>
      </c>
      <c r="H61" s="6">
        <f>IF(E61="","",E61/12*(1+Parametros!$B$9))</f>
        <v/>
      </c>
      <c r="I61" s="6">
        <f>IF(G61="","",G61*(Parametros!$B$7+Parametros!$B$8))</f>
        <v/>
      </c>
      <c r="J61" s="6">
        <f>IF(H61="","",H61*(Parametros!$B$7+Parametros!$B$8))</f>
        <v/>
      </c>
      <c r="K61" s="6">
        <f>IF(E61="","",E61*Parametros!$B$6*(Parametros!$B$4+Parametros!$B$5))</f>
        <v/>
      </c>
      <c r="L61" s="6">
        <f>IF(E61="","",SUM(G61:K61))</f>
        <v/>
      </c>
    </row>
    <row r="62">
      <c r="E62" s="8" t="n"/>
      <c r="G62" s="6">
        <f>IF(E62="","",E62/12)</f>
        <v/>
      </c>
      <c r="H62" s="6">
        <f>IF(E62="","",E62/12*(1+Parametros!$B$9))</f>
        <v/>
      </c>
      <c r="I62" s="6">
        <f>IF(G62="","",G62*(Parametros!$B$7+Parametros!$B$8))</f>
        <v/>
      </c>
      <c r="J62" s="6">
        <f>IF(H62="","",H62*(Parametros!$B$7+Parametros!$B$8))</f>
        <v/>
      </c>
      <c r="K62" s="6">
        <f>IF(E62="","",E62*Parametros!$B$6*(Parametros!$B$4+Parametros!$B$5))</f>
        <v/>
      </c>
      <c r="L62" s="6">
        <f>IF(E62="","",SUM(G62:K62))</f>
        <v/>
      </c>
    </row>
    <row r="63">
      <c r="E63" s="8" t="n"/>
      <c r="G63" s="6">
        <f>IF(E63="","",E63/12)</f>
        <v/>
      </c>
      <c r="H63" s="6">
        <f>IF(E63="","",E63/12*(1+Parametros!$B$9))</f>
        <v/>
      </c>
      <c r="I63" s="6">
        <f>IF(G63="","",G63*(Parametros!$B$7+Parametros!$B$8))</f>
        <v/>
      </c>
      <c r="J63" s="6">
        <f>IF(H63="","",H63*(Parametros!$B$7+Parametros!$B$8))</f>
        <v/>
      </c>
      <c r="K63" s="6">
        <f>IF(E63="","",E63*Parametros!$B$6*(Parametros!$B$4+Parametros!$B$5))</f>
        <v/>
      </c>
      <c r="L63" s="6">
        <f>IF(E63="","",SUM(G63:K63))</f>
        <v/>
      </c>
    </row>
    <row r="64">
      <c r="E64" s="8" t="n"/>
      <c r="G64" s="6">
        <f>IF(E64="","",E64/12)</f>
        <v/>
      </c>
      <c r="H64" s="6">
        <f>IF(E64="","",E64/12*(1+Parametros!$B$9))</f>
        <v/>
      </c>
      <c r="I64" s="6">
        <f>IF(G64="","",G64*(Parametros!$B$7+Parametros!$B$8))</f>
        <v/>
      </c>
      <c r="J64" s="6">
        <f>IF(H64="","",H64*(Parametros!$B$7+Parametros!$B$8))</f>
        <v/>
      </c>
      <c r="K64" s="6">
        <f>IF(E64="","",E64*Parametros!$B$6*(Parametros!$B$4+Parametros!$B$5))</f>
        <v/>
      </c>
      <c r="L64" s="6">
        <f>IF(E64="","",SUM(G64:K64))</f>
        <v/>
      </c>
    </row>
    <row r="65">
      <c r="E65" s="8" t="n"/>
      <c r="G65" s="6">
        <f>IF(E65="","",E65/12)</f>
        <v/>
      </c>
      <c r="H65" s="6">
        <f>IF(E65="","",E65/12*(1+Parametros!$B$9))</f>
        <v/>
      </c>
      <c r="I65" s="6">
        <f>IF(G65="","",G65*(Parametros!$B$7+Parametros!$B$8))</f>
        <v/>
      </c>
      <c r="J65" s="6">
        <f>IF(H65="","",H65*(Parametros!$B$7+Parametros!$B$8))</f>
        <v/>
      </c>
      <c r="K65" s="6">
        <f>IF(E65="","",E65*Parametros!$B$6*(Parametros!$B$4+Parametros!$B$5))</f>
        <v/>
      </c>
      <c r="L65" s="6">
        <f>IF(E65="","",SUM(G65:K65))</f>
        <v/>
      </c>
    </row>
    <row r="66">
      <c r="E66" s="8" t="n"/>
      <c r="G66" s="6">
        <f>IF(E66="","",E66/12)</f>
        <v/>
      </c>
      <c r="H66" s="6">
        <f>IF(E66="","",E66/12*(1+Parametros!$B$9))</f>
        <v/>
      </c>
      <c r="I66" s="6">
        <f>IF(G66="","",G66*(Parametros!$B$7+Parametros!$B$8))</f>
        <v/>
      </c>
      <c r="J66" s="6">
        <f>IF(H66="","",H66*(Parametros!$B$7+Parametros!$B$8))</f>
        <v/>
      </c>
      <c r="K66" s="6">
        <f>IF(E66="","",E66*Parametros!$B$6*(Parametros!$B$4+Parametros!$B$5))</f>
        <v/>
      </c>
      <c r="L66" s="6">
        <f>IF(E66="","",SUM(G66:K66))</f>
        <v/>
      </c>
    </row>
    <row r="67">
      <c r="E67" s="8" t="n"/>
      <c r="G67" s="6">
        <f>IF(E67="","",E67/12)</f>
        <v/>
      </c>
      <c r="H67" s="6">
        <f>IF(E67="","",E67/12*(1+Parametros!$B$9))</f>
        <v/>
      </c>
      <c r="I67" s="6">
        <f>IF(G67="","",G67*(Parametros!$B$7+Parametros!$B$8))</f>
        <v/>
      </c>
      <c r="J67" s="6">
        <f>IF(H67="","",H67*(Parametros!$B$7+Parametros!$B$8))</f>
        <v/>
      </c>
      <c r="K67" s="6">
        <f>IF(E67="","",E67*Parametros!$B$6*(Parametros!$B$4+Parametros!$B$5))</f>
        <v/>
      </c>
      <c r="L67" s="6">
        <f>IF(E67="","",SUM(G67:K67))</f>
        <v/>
      </c>
    </row>
    <row r="68">
      <c r="E68" s="8" t="n"/>
      <c r="G68" s="6">
        <f>IF(E68="","",E68/12)</f>
        <v/>
      </c>
      <c r="H68" s="6">
        <f>IF(E68="","",E68/12*(1+Parametros!$B$9))</f>
        <v/>
      </c>
      <c r="I68" s="6">
        <f>IF(G68="","",G68*(Parametros!$B$7+Parametros!$B$8))</f>
        <v/>
      </c>
      <c r="J68" s="6">
        <f>IF(H68="","",H68*(Parametros!$B$7+Parametros!$B$8))</f>
        <v/>
      </c>
      <c r="K68" s="6">
        <f>IF(E68="","",E68*Parametros!$B$6*(Parametros!$B$4+Parametros!$B$5))</f>
        <v/>
      </c>
      <c r="L68" s="6">
        <f>IF(E68="","",SUM(G68:K68))</f>
        <v/>
      </c>
    </row>
    <row r="69">
      <c r="E69" s="8" t="n"/>
      <c r="G69" s="6">
        <f>IF(E69="","",E69/12)</f>
        <v/>
      </c>
      <c r="H69" s="6">
        <f>IF(E69="","",E69/12*(1+Parametros!$B$9))</f>
        <v/>
      </c>
      <c r="I69" s="6">
        <f>IF(G69="","",G69*(Parametros!$B$7+Parametros!$B$8))</f>
        <v/>
      </c>
      <c r="J69" s="6">
        <f>IF(H69="","",H69*(Parametros!$B$7+Parametros!$B$8))</f>
        <v/>
      </c>
      <c r="K69" s="6">
        <f>IF(E69="","",E69*Parametros!$B$6*(Parametros!$B$4+Parametros!$B$5))</f>
        <v/>
      </c>
      <c r="L69" s="6">
        <f>IF(E69="","",SUM(G69:K69))</f>
        <v/>
      </c>
    </row>
    <row r="70">
      <c r="E70" s="8" t="n"/>
      <c r="G70" s="6">
        <f>IF(E70="","",E70/12)</f>
        <v/>
      </c>
      <c r="H70" s="6">
        <f>IF(E70="","",E70/12*(1+Parametros!$B$9))</f>
        <v/>
      </c>
      <c r="I70" s="6">
        <f>IF(G70="","",G70*(Parametros!$B$7+Parametros!$B$8))</f>
        <v/>
      </c>
      <c r="J70" s="6">
        <f>IF(H70="","",H70*(Parametros!$B$7+Parametros!$B$8))</f>
        <v/>
      </c>
      <c r="K70" s="6">
        <f>IF(E70="","",E70*Parametros!$B$6*(Parametros!$B$4+Parametros!$B$5))</f>
        <v/>
      </c>
      <c r="L70" s="6">
        <f>IF(E70="","",SUM(G70:K70))</f>
        <v/>
      </c>
    </row>
    <row r="71">
      <c r="E71" s="8" t="n"/>
      <c r="G71" s="6">
        <f>IF(E71="","",E71/12)</f>
        <v/>
      </c>
      <c r="H71" s="6">
        <f>IF(E71="","",E71/12*(1+Parametros!$B$9))</f>
        <v/>
      </c>
      <c r="I71" s="6">
        <f>IF(G71="","",G71*(Parametros!$B$7+Parametros!$B$8))</f>
        <v/>
      </c>
      <c r="J71" s="6">
        <f>IF(H71="","",H71*(Parametros!$B$7+Parametros!$B$8))</f>
        <v/>
      </c>
      <c r="K71" s="6">
        <f>IF(E71="","",E71*Parametros!$B$6*(Parametros!$B$4+Parametros!$B$5))</f>
        <v/>
      </c>
      <c r="L71" s="6">
        <f>IF(E71="","",SUM(G71:K71))</f>
        <v/>
      </c>
    </row>
    <row r="72">
      <c r="E72" s="8" t="n"/>
      <c r="G72" s="6">
        <f>IF(E72="","",E72/12)</f>
        <v/>
      </c>
      <c r="H72" s="6">
        <f>IF(E72="","",E72/12*(1+Parametros!$B$9))</f>
        <v/>
      </c>
      <c r="I72" s="6">
        <f>IF(G72="","",G72*(Parametros!$B$7+Parametros!$B$8))</f>
        <v/>
      </c>
      <c r="J72" s="6">
        <f>IF(H72="","",H72*(Parametros!$B$7+Parametros!$B$8))</f>
        <v/>
      </c>
      <c r="K72" s="6">
        <f>IF(E72="","",E72*Parametros!$B$6*(Parametros!$B$4+Parametros!$B$5))</f>
        <v/>
      </c>
      <c r="L72" s="6">
        <f>IF(E72="","",SUM(G72:K72))</f>
        <v/>
      </c>
    </row>
    <row r="73">
      <c r="E73" s="8" t="n"/>
      <c r="G73" s="6">
        <f>IF(E73="","",E73/12)</f>
        <v/>
      </c>
      <c r="H73" s="6">
        <f>IF(E73="","",E73/12*(1+Parametros!$B$9))</f>
        <v/>
      </c>
      <c r="I73" s="6">
        <f>IF(G73="","",G73*(Parametros!$B$7+Parametros!$B$8))</f>
        <v/>
      </c>
      <c r="J73" s="6">
        <f>IF(H73="","",H73*(Parametros!$B$7+Parametros!$B$8))</f>
        <v/>
      </c>
      <c r="K73" s="6">
        <f>IF(E73="","",E73*Parametros!$B$6*(Parametros!$B$4+Parametros!$B$5))</f>
        <v/>
      </c>
      <c r="L73" s="6">
        <f>IF(E73="","",SUM(G73:K73))</f>
        <v/>
      </c>
    </row>
    <row r="74">
      <c r="E74" s="8" t="n"/>
      <c r="G74" s="6">
        <f>IF(E74="","",E74/12)</f>
        <v/>
      </c>
      <c r="H74" s="6">
        <f>IF(E74="","",E74/12*(1+Parametros!$B$9))</f>
        <v/>
      </c>
      <c r="I74" s="6">
        <f>IF(G74="","",G74*(Parametros!$B$7+Parametros!$B$8))</f>
        <v/>
      </c>
      <c r="J74" s="6">
        <f>IF(H74="","",H74*(Parametros!$B$7+Parametros!$B$8))</f>
        <v/>
      </c>
      <c r="K74" s="6">
        <f>IF(E74="","",E74*Parametros!$B$6*(Parametros!$B$4+Parametros!$B$5))</f>
        <v/>
      </c>
      <c r="L74" s="6">
        <f>IF(E74="","",SUM(G74:K74))</f>
        <v/>
      </c>
    </row>
    <row r="75">
      <c r="E75" s="8" t="n"/>
      <c r="G75" s="6">
        <f>IF(E75="","",E75/12)</f>
        <v/>
      </c>
      <c r="H75" s="6">
        <f>IF(E75="","",E75/12*(1+Parametros!$B$9))</f>
        <v/>
      </c>
      <c r="I75" s="6">
        <f>IF(G75="","",G75*(Parametros!$B$7+Parametros!$B$8))</f>
        <v/>
      </c>
      <c r="J75" s="6">
        <f>IF(H75="","",H75*(Parametros!$B$7+Parametros!$B$8))</f>
        <v/>
      </c>
      <c r="K75" s="6">
        <f>IF(E75="","",E75*Parametros!$B$6*(Parametros!$B$4+Parametros!$B$5))</f>
        <v/>
      </c>
      <c r="L75" s="6">
        <f>IF(E75="","",SUM(G75:K75))</f>
        <v/>
      </c>
    </row>
    <row r="76">
      <c r="E76" s="8" t="n"/>
      <c r="G76" s="6">
        <f>IF(E76="","",E76/12)</f>
        <v/>
      </c>
      <c r="H76" s="6">
        <f>IF(E76="","",E76/12*(1+Parametros!$B$9))</f>
        <v/>
      </c>
      <c r="I76" s="6">
        <f>IF(G76="","",G76*(Parametros!$B$7+Parametros!$B$8))</f>
        <v/>
      </c>
      <c r="J76" s="6">
        <f>IF(H76="","",H76*(Parametros!$B$7+Parametros!$B$8))</f>
        <v/>
      </c>
      <c r="K76" s="6">
        <f>IF(E76="","",E76*Parametros!$B$6*(Parametros!$B$4+Parametros!$B$5))</f>
        <v/>
      </c>
      <c r="L76" s="6">
        <f>IF(E76="","",SUM(G76:K76))</f>
        <v/>
      </c>
    </row>
    <row r="77">
      <c r="E77" s="8" t="n"/>
      <c r="G77" s="6">
        <f>IF(E77="","",E77/12)</f>
        <v/>
      </c>
      <c r="H77" s="6">
        <f>IF(E77="","",E77/12*(1+Parametros!$B$9))</f>
        <v/>
      </c>
      <c r="I77" s="6">
        <f>IF(G77="","",G77*(Parametros!$B$7+Parametros!$B$8))</f>
        <v/>
      </c>
      <c r="J77" s="6">
        <f>IF(H77="","",H77*(Parametros!$B$7+Parametros!$B$8))</f>
        <v/>
      </c>
      <c r="K77" s="6">
        <f>IF(E77="","",E77*Parametros!$B$6*(Parametros!$B$4+Parametros!$B$5))</f>
        <v/>
      </c>
      <c r="L77" s="6">
        <f>IF(E77="","",SUM(G77:K77))</f>
        <v/>
      </c>
    </row>
    <row r="78">
      <c r="E78" s="8" t="n"/>
      <c r="G78" s="6">
        <f>IF(E78="","",E78/12)</f>
        <v/>
      </c>
      <c r="H78" s="6">
        <f>IF(E78="","",E78/12*(1+Parametros!$B$9))</f>
        <v/>
      </c>
      <c r="I78" s="6">
        <f>IF(G78="","",G78*(Parametros!$B$7+Parametros!$B$8))</f>
        <v/>
      </c>
      <c r="J78" s="6">
        <f>IF(H78="","",H78*(Parametros!$B$7+Parametros!$B$8))</f>
        <v/>
      </c>
      <c r="K78" s="6">
        <f>IF(E78="","",E78*Parametros!$B$6*(Parametros!$B$4+Parametros!$B$5))</f>
        <v/>
      </c>
      <c r="L78" s="6">
        <f>IF(E78="","",SUM(G78:K78))</f>
        <v/>
      </c>
    </row>
    <row r="79">
      <c r="E79" s="8" t="n"/>
      <c r="G79" s="6">
        <f>IF(E79="","",E79/12)</f>
        <v/>
      </c>
      <c r="H79" s="6">
        <f>IF(E79="","",E79/12*(1+Parametros!$B$9))</f>
        <v/>
      </c>
      <c r="I79" s="6">
        <f>IF(G79="","",G79*(Parametros!$B$7+Parametros!$B$8))</f>
        <v/>
      </c>
      <c r="J79" s="6">
        <f>IF(H79="","",H79*(Parametros!$B$7+Parametros!$B$8))</f>
        <v/>
      </c>
      <c r="K79" s="6">
        <f>IF(E79="","",E79*Parametros!$B$6*(Parametros!$B$4+Parametros!$B$5))</f>
        <v/>
      </c>
      <c r="L79" s="6">
        <f>IF(E79="","",SUM(G79:K79))</f>
        <v/>
      </c>
    </row>
    <row r="80">
      <c r="E80" s="8" t="n"/>
      <c r="G80" s="6">
        <f>IF(E80="","",E80/12)</f>
        <v/>
      </c>
      <c r="H80" s="6">
        <f>IF(E80="","",E80/12*(1+Parametros!$B$9))</f>
        <v/>
      </c>
      <c r="I80" s="6">
        <f>IF(G80="","",G80*(Parametros!$B$7+Parametros!$B$8))</f>
        <v/>
      </c>
      <c r="J80" s="6">
        <f>IF(H80="","",H80*(Parametros!$B$7+Parametros!$B$8))</f>
        <v/>
      </c>
      <c r="K80" s="6">
        <f>IF(E80="","",E80*Parametros!$B$6*(Parametros!$B$4+Parametros!$B$5))</f>
        <v/>
      </c>
      <c r="L80" s="6">
        <f>IF(E80="","",SUM(G80:K80))</f>
        <v/>
      </c>
    </row>
    <row r="81">
      <c r="E81" s="8" t="n"/>
      <c r="G81" s="6">
        <f>IF(E81="","",E81/12)</f>
        <v/>
      </c>
      <c r="H81" s="6">
        <f>IF(E81="","",E81/12*(1+Parametros!$B$9))</f>
        <v/>
      </c>
      <c r="I81" s="6">
        <f>IF(G81="","",G81*(Parametros!$B$7+Parametros!$B$8))</f>
        <v/>
      </c>
      <c r="J81" s="6">
        <f>IF(H81="","",H81*(Parametros!$B$7+Parametros!$B$8))</f>
        <v/>
      </c>
      <c r="K81" s="6">
        <f>IF(E81="","",E81*Parametros!$B$6*(Parametros!$B$4+Parametros!$B$5))</f>
        <v/>
      </c>
      <c r="L81" s="6">
        <f>IF(E81="","",SUM(G81:K81))</f>
        <v/>
      </c>
    </row>
    <row r="82">
      <c r="E82" s="8" t="n"/>
      <c r="G82" s="6">
        <f>IF(E82="","",E82/12)</f>
        <v/>
      </c>
      <c r="H82" s="6">
        <f>IF(E82="","",E82/12*(1+Parametros!$B$9))</f>
        <v/>
      </c>
      <c r="I82" s="6">
        <f>IF(G82="","",G82*(Parametros!$B$7+Parametros!$B$8))</f>
        <v/>
      </c>
      <c r="J82" s="6">
        <f>IF(H82="","",H82*(Parametros!$B$7+Parametros!$B$8))</f>
        <v/>
      </c>
      <c r="K82" s="6">
        <f>IF(E82="","",E82*Parametros!$B$6*(Parametros!$B$4+Parametros!$B$5))</f>
        <v/>
      </c>
      <c r="L82" s="6">
        <f>IF(E82="","",SUM(G82:K82))</f>
        <v/>
      </c>
    </row>
    <row r="83">
      <c r="E83" s="8" t="n"/>
      <c r="G83" s="6">
        <f>IF(E83="","",E83/12)</f>
        <v/>
      </c>
      <c r="H83" s="6">
        <f>IF(E83="","",E83/12*(1+Parametros!$B$9))</f>
        <v/>
      </c>
      <c r="I83" s="6">
        <f>IF(G83="","",G83*(Parametros!$B$7+Parametros!$B$8))</f>
        <v/>
      </c>
      <c r="J83" s="6">
        <f>IF(H83="","",H83*(Parametros!$B$7+Parametros!$B$8))</f>
        <v/>
      </c>
      <c r="K83" s="6">
        <f>IF(E83="","",E83*Parametros!$B$6*(Parametros!$B$4+Parametros!$B$5))</f>
        <v/>
      </c>
      <c r="L83" s="6">
        <f>IF(E83="","",SUM(G83:K83))</f>
        <v/>
      </c>
    </row>
    <row r="84">
      <c r="E84" s="8" t="n"/>
      <c r="G84" s="6">
        <f>IF(E84="","",E84/12)</f>
        <v/>
      </c>
      <c r="H84" s="6">
        <f>IF(E84="","",E84/12*(1+Parametros!$B$9))</f>
        <v/>
      </c>
      <c r="I84" s="6">
        <f>IF(G84="","",G84*(Parametros!$B$7+Parametros!$B$8))</f>
        <v/>
      </c>
      <c r="J84" s="6">
        <f>IF(H84="","",H84*(Parametros!$B$7+Parametros!$B$8))</f>
        <v/>
      </c>
      <c r="K84" s="6">
        <f>IF(E84="","",E84*Parametros!$B$6*(Parametros!$B$4+Parametros!$B$5))</f>
        <v/>
      </c>
      <c r="L84" s="6">
        <f>IF(E84="","",SUM(G84:K84))</f>
        <v/>
      </c>
    </row>
    <row r="85">
      <c r="E85" s="8" t="n"/>
      <c r="G85" s="6">
        <f>IF(E85="","",E85/12)</f>
        <v/>
      </c>
      <c r="H85" s="6">
        <f>IF(E85="","",E85/12*(1+Parametros!$B$9))</f>
        <v/>
      </c>
      <c r="I85" s="6">
        <f>IF(G85="","",G85*(Parametros!$B$7+Parametros!$B$8))</f>
        <v/>
      </c>
      <c r="J85" s="6">
        <f>IF(H85="","",H85*(Parametros!$B$7+Parametros!$B$8))</f>
        <v/>
      </c>
      <c r="K85" s="6">
        <f>IF(E85="","",E85*Parametros!$B$6*(Parametros!$B$4+Parametros!$B$5))</f>
        <v/>
      </c>
      <c r="L85" s="6">
        <f>IF(E85="","",SUM(G85:K85))</f>
        <v/>
      </c>
    </row>
    <row r="86">
      <c r="E86" s="8" t="n"/>
      <c r="G86" s="6">
        <f>IF(E86="","",E86/12)</f>
        <v/>
      </c>
      <c r="H86" s="6">
        <f>IF(E86="","",E86/12*(1+Parametros!$B$9))</f>
        <v/>
      </c>
      <c r="I86" s="6">
        <f>IF(G86="","",G86*(Parametros!$B$7+Parametros!$B$8))</f>
        <v/>
      </c>
      <c r="J86" s="6">
        <f>IF(H86="","",H86*(Parametros!$B$7+Parametros!$B$8))</f>
        <v/>
      </c>
      <c r="K86" s="6">
        <f>IF(E86="","",E86*Parametros!$B$6*(Parametros!$B$4+Parametros!$B$5))</f>
        <v/>
      </c>
      <c r="L86" s="6">
        <f>IF(E86="","",SUM(G86:K86))</f>
        <v/>
      </c>
    </row>
    <row r="87">
      <c r="E87" s="8" t="n"/>
      <c r="G87" s="6">
        <f>IF(E87="","",E87/12)</f>
        <v/>
      </c>
      <c r="H87" s="6">
        <f>IF(E87="","",E87/12*(1+Parametros!$B$9))</f>
        <v/>
      </c>
      <c r="I87" s="6">
        <f>IF(G87="","",G87*(Parametros!$B$7+Parametros!$B$8))</f>
        <v/>
      </c>
      <c r="J87" s="6">
        <f>IF(H87="","",H87*(Parametros!$B$7+Parametros!$B$8))</f>
        <v/>
      </c>
      <c r="K87" s="6">
        <f>IF(E87="","",E87*Parametros!$B$6*(Parametros!$B$4+Parametros!$B$5))</f>
        <v/>
      </c>
      <c r="L87" s="6">
        <f>IF(E87="","",SUM(G87:K87))</f>
        <v/>
      </c>
    </row>
    <row r="88">
      <c r="E88" s="8" t="n"/>
      <c r="G88" s="6">
        <f>IF(E88="","",E88/12)</f>
        <v/>
      </c>
      <c r="H88" s="6">
        <f>IF(E88="","",E88/12*(1+Parametros!$B$9))</f>
        <v/>
      </c>
      <c r="I88" s="6">
        <f>IF(G88="","",G88*(Parametros!$B$7+Parametros!$B$8))</f>
        <v/>
      </c>
      <c r="J88" s="6">
        <f>IF(H88="","",H88*(Parametros!$B$7+Parametros!$B$8))</f>
        <v/>
      </c>
      <c r="K88" s="6">
        <f>IF(E88="","",E88*Parametros!$B$6*(Parametros!$B$4+Parametros!$B$5))</f>
        <v/>
      </c>
      <c r="L88" s="6">
        <f>IF(E88="","",SUM(G88:K88))</f>
        <v/>
      </c>
    </row>
    <row r="89">
      <c r="E89" s="8" t="n"/>
      <c r="G89" s="6">
        <f>IF(E89="","",E89/12)</f>
        <v/>
      </c>
      <c r="H89" s="6">
        <f>IF(E89="","",E89/12*(1+Parametros!$B$9))</f>
        <v/>
      </c>
      <c r="I89" s="6">
        <f>IF(G89="","",G89*(Parametros!$B$7+Parametros!$B$8))</f>
        <v/>
      </c>
      <c r="J89" s="6">
        <f>IF(H89="","",H89*(Parametros!$B$7+Parametros!$B$8))</f>
        <v/>
      </c>
      <c r="K89" s="6">
        <f>IF(E89="","",E89*Parametros!$B$6*(Parametros!$B$4+Parametros!$B$5))</f>
        <v/>
      </c>
      <c r="L89" s="6">
        <f>IF(E89="","",SUM(G89:K89))</f>
        <v/>
      </c>
    </row>
    <row r="90">
      <c r="E90" s="8" t="n"/>
      <c r="G90" s="6">
        <f>IF(E90="","",E90/12)</f>
        <v/>
      </c>
      <c r="H90" s="6">
        <f>IF(E90="","",E90/12*(1+Parametros!$B$9))</f>
        <v/>
      </c>
      <c r="I90" s="6">
        <f>IF(G90="","",G90*(Parametros!$B$7+Parametros!$B$8))</f>
        <v/>
      </c>
      <c r="J90" s="6">
        <f>IF(H90="","",H90*(Parametros!$B$7+Parametros!$B$8))</f>
        <v/>
      </c>
      <c r="K90" s="6">
        <f>IF(E90="","",E90*Parametros!$B$6*(Parametros!$B$4+Parametros!$B$5))</f>
        <v/>
      </c>
      <c r="L90" s="6">
        <f>IF(E90="","",SUM(G90:K90))</f>
        <v/>
      </c>
    </row>
    <row r="91">
      <c r="E91" s="8" t="n"/>
      <c r="G91" s="6">
        <f>IF(E91="","",E91/12)</f>
        <v/>
      </c>
      <c r="H91" s="6">
        <f>IF(E91="","",E91/12*(1+Parametros!$B$9))</f>
        <v/>
      </c>
      <c r="I91" s="6">
        <f>IF(G91="","",G91*(Parametros!$B$7+Parametros!$B$8))</f>
        <v/>
      </c>
      <c r="J91" s="6">
        <f>IF(H91="","",H91*(Parametros!$B$7+Parametros!$B$8))</f>
        <v/>
      </c>
      <c r="K91" s="6">
        <f>IF(E91="","",E91*Parametros!$B$6*(Parametros!$B$4+Parametros!$B$5))</f>
        <v/>
      </c>
      <c r="L91" s="6">
        <f>IF(E91="","",SUM(G91:K91))</f>
        <v/>
      </c>
    </row>
    <row r="92">
      <c r="E92" s="8" t="n"/>
      <c r="G92" s="6">
        <f>IF(E92="","",E92/12)</f>
        <v/>
      </c>
      <c r="H92" s="6">
        <f>IF(E92="","",E92/12*(1+Parametros!$B$9))</f>
        <v/>
      </c>
      <c r="I92" s="6">
        <f>IF(G92="","",G92*(Parametros!$B$7+Parametros!$B$8))</f>
        <v/>
      </c>
      <c r="J92" s="6">
        <f>IF(H92="","",H92*(Parametros!$B$7+Parametros!$B$8))</f>
        <v/>
      </c>
      <c r="K92" s="6">
        <f>IF(E92="","",E92*Parametros!$B$6*(Parametros!$B$4+Parametros!$B$5))</f>
        <v/>
      </c>
      <c r="L92" s="6">
        <f>IF(E92="","",SUM(G92:K92))</f>
        <v/>
      </c>
    </row>
    <row r="93">
      <c r="E93" s="8" t="n"/>
      <c r="G93" s="6">
        <f>IF(E93="","",E93/12)</f>
        <v/>
      </c>
      <c r="H93" s="6">
        <f>IF(E93="","",E93/12*(1+Parametros!$B$9))</f>
        <v/>
      </c>
      <c r="I93" s="6">
        <f>IF(G93="","",G93*(Parametros!$B$7+Parametros!$B$8))</f>
        <v/>
      </c>
      <c r="J93" s="6">
        <f>IF(H93="","",H93*(Parametros!$B$7+Parametros!$B$8))</f>
        <v/>
      </c>
      <c r="K93" s="6">
        <f>IF(E93="","",E93*Parametros!$B$6*(Parametros!$B$4+Parametros!$B$5))</f>
        <v/>
      </c>
      <c r="L93" s="6">
        <f>IF(E93="","",SUM(G93:K93))</f>
        <v/>
      </c>
    </row>
    <row r="94">
      <c r="E94" s="8" t="n"/>
      <c r="G94" s="6">
        <f>IF(E94="","",E94/12)</f>
        <v/>
      </c>
      <c r="H94" s="6">
        <f>IF(E94="","",E94/12*(1+Parametros!$B$9))</f>
        <v/>
      </c>
      <c r="I94" s="6">
        <f>IF(G94="","",G94*(Parametros!$B$7+Parametros!$B$8))</f>
        <v/>
      </c>
      <c r="J94" s="6">
        <f>IF(H94="","",H94*(Parametros!$B$7+Parametros!$B$8))</f>
        <v/>
      </c>
      <c r="K94" s="6">
        <f>IF(E94="","",E94*Parametros!$B$6*(Parametros!$B$4+Parametros!$B$5))</f>
        <v/>
      </c>
      <c r="L94" s="6">
        <f>IF(E94="","",SUM(G94:K94))</f>
        <v/>
      </c>
    </row>
    <row r="95">
      <c r="E95" s="8" t="n"/>
      <c r="G95" s="6">
        <f>IF(E95="","",E95/12)</f>
        <v/>
      </c>
      <c r="H95" s="6">
        <f>IF(E95="","",E95/12*(1+Parametros!$B$9))</f>
        <v/>
      </c>
      <c r="I95" s="6">
        <f>IF(G95="","",G95*(Parametros!$B$7+Parametros!$B$8))</f>
        <v/>
      </c>
      <c r="J95" s="6">
        <f>IF(H95="","",H95*(Parametros!$B$7+Parametros!$B$8))</f>
        <v/>
      </c>
      <c r="K95" s="6">
        <f>IF(E95="","",E95*Parametros!$B$6*(Parametros!$B$4+Parametros!$B$5))</f>
        <v/>
      </c>
      <c r="L95" s="6">
        <f>IF(E95="","",SUM(G95:K95))</f>
        <v/>
      </c>
    </row>
    <row r="96">
      <c r="E96" s="8" t="n"/>
      <c r="G96" s="6">
        <f>IF(E96="","",E96/12)</f>
        <v/>
      </c>
      <c r="H96" s="6">
        <f>IF(E96="","",E96/12*(1+Parametros!$B$9))</f>
        <v/>
      </c>
      <c r="I96" s="6">
        <f>IF(G96="","",G96*(Parametros!$B$7+Parametros!$B$8))</f>
        <v/>
      </c>
      <c r="J96" s="6">
        <f>IF(H96="","",H96*(Parametros!$B$7+Parametros!$B$8))</f>
        <v/>
      </c>
      <c r="K96" s="6">
        <f>IF(E96="","",E96*Parametros!$B$6*(Parametros!$B$4+Parametros!$B$5))</f>
        <v/>
      </c>
      <c r="L96" s="6">
        <f>IF(E96="","",SUM(G96:K96))</f>
        <v/>
      </c>
    </row>
    <row r="97">
      <c r="E97" s="8" t="n"/>
      <c r="G97" s="6">
        <f>IF(E97="","",E97/12)</f>
        <v/>
      </c>
      <c r="H97" s="6">
        <f>IF(E97="","",E97/12*(1+Parametros!$B$9))</f>
        <v/>
      </c>
      <c r="I97" s="6">
        <f>IF(G97="","",G97*(Parametros!$B$7+Parametros!$B$8))</f>
        <v/>
      </c>
      <c r="J97" s="6">
        <f>IF(H97="","",H97*(Parametros!$B$7+Parametros!$B$8))</f>
        <v/>
      </c>
      <c r="K97" s="6">
        <f>IF(E97="","",E97*Parametros!$B$6*(Parametros!$B$4+Parametros!$B$5))</f>
        <v/>
      </c>
      <c r="L97" s="6">
        <f>IF(E97="","",SUM(G97:K97))</f>
        <v/>
      </c>
    </row>
    <row r="98">
      <c r="E98" s="8" t="n"/>
      <c r="G98" s="6">
        <f>IF(E98="","",E98/12)</f>
        <v/>
      </c>
      <c r="H98" s="6">
        <f>IF(E98="","",E98/12*(1+Parametros!$B$9))</f>
        <v/>
      </c>
      <c r="I98" s="6">
        <f>IF(G98="","",G98*(Parametros!$B$7+Parametros!$B$8))</f>
        <v/>
      </c>
      <c r="J98" s="6">
        <f>IF(H98="","",H98*(Parametros!$B$7+Parametros!$B$8))</f>
        <v/>
      </c>
      <c r="K98" s="6">
        <f>IF(E98="","",E98*Parametros!$B$6*(Parametros!$B$4+Parametros!$B$5))</f>
        <v/>
      </c>
      <c r="L98" s="6">
        <f>IF(E98="","",SUM(G98:K98))</f>
        <v/>
      </c>
    </row>
    <row r="99">
      <c r="E99" s="8" t="n"/>
      <c r="G99" s="6">
        <f>IF(E99="","",E99/12)</f>
        <v/>
      </c>
      <c r="H99" s="6">
        <f>IF(E99="","",E99/12*(1+Parametros!$B$9))</f>
        <v/>
      </c>
      <c r="I99" s="6">
        <f>IF(G99="","",G99*(Parametros!$B$7+Parametros!$B$8))</f>
        <v/>
      </c>
      <c r="J99" s="6">
        <f>IF(H99="","",H99*(Parametros!$B$7+Parametros!$B$8))</f>
        <v/>
      </c>
      <c r="K99" s="6">
        <f>IF(E99="","",E99*Parametros!$B$6*(Parametros!$B$4+Parametros!$B$5))</f>
        <v/>
      </c>
      <c r="L99" s="6">
        <f>IF(E99="","",SUM(G99:K99))</f>
        <v/>
      </c>
    </row>
    <row r="100">
      <c r="E100" s="8" t="n"/>
      <c r="G100" s="6">
        <f>IF(E100="","",E100/12)</f>
        <v/>
      </c>
      <c r="H100" s="6">
        <f>IF(E100="","",E100/12*(1+Parametros!$B$9))</f>
        <v/>
      </c>
      <c r="I100" s="6">
        <f>IF(G100="","",G100*(Parametros!$B$7+Parametros!$B$8))</f>
        <v/>
      </c>
      <c r="J100" s="6">
        <f>IF(H100="","",H100*(Parametros!$B$7+Parametros!$B$8))</f>
        <v/>
      </c>
      <c r="K100" s="6">
        <f>IF(E100="","",E100*Parametros!$B$6*(Parametros!$B$4+Parametros!$B$5))</f>
        <v/>
      </c>
      <c r="L100" s="6">
        <f>IF(E100="","",SUM(G100:K100))</f>
        <v/>
      </c>
    </row>
    <row r="101">
      <c r="E101" s="8" t="n"/>
      <c r="G101" s="6">
        <f>IF(E101="","",E101/12)</f>
        <v/>
      </c>
      <c r="H101" s="6">
        <f>IF(E101="","",E101/12*(1+Parametros!$B$9))</f>
        <v/>
      </c>
      <c r="I101" s="6">
        <f>IF(G101="","",G101*(Parametros!$B$7+Parametros!$B$8))</f>
        <v/>
      </c>
      <c r="J101" s="6">
        <f>IF(H101="","",H101*(Parametros!$B$7+Parametros!$B$8))</f>
        <v/>
      </c>
      <c r="K101" s="6">
        <f>IF(E101="","",E101*Parametros!$B$6*(Parametros!$B$4+Parametros!$B$5))</f>
        <v/>
      </c>
      <c r="L101" s="6">
        <f>IF(E101="","",SUM(G101:K101))</f>
        <v/>
      </c>
    </row>
    <row r="102">
      <c r="E102" s="8" t="n"/>
      <c r="G102" s="6">
        <f>IF(E102="","",E102/12)</f>
        <v/>
      </c>
      <c r="H102" s="6">
        <f>IF(E102="","",E102/12*(1+Parametros!$B$9))</f>
        <v/>
      </c>
      <c r="I102" s="6">
        <f>IF(G102="","",G102*(Parametros!$B$7+Parametros!$B$8))</f>
        <v/>
      </c>
      <c r="J102" s="6">
        <f>IF(H102="","",H102*(Parametros!$B$7+Parametros!$B$8))</f>
        <v/>
      </c>
      <c r="K102" s="6">
        <f>IF(E102="","",E102*Parametros!$B$6*(Parametros!$B$4+Parametros!$B$5))</f>
        <v/>
      </c>
      <c r="L102" s="6">
        <f>IF(E102="","",SUM(G102:K102))</f>
        <v/>
      </c>
    </row>
    <row r="103">
      <c r="E103" s="8" t="n"/>
      <c r="G103" s="6">
        <f>IF(E103="","",E103/12)</f>
        <v/>
      </c>
      <c r="H103" s="6">
        <f>IF(E103="","",E103/12*(1+Parametros!$B$9))</f>
        <v/>
      </c>
      <c r="I103" s="6">
        <f>IF(G103="","",G103*(Parametros!$B$7+Parametros!$B$8))</f>
        <v/>
      </c>
      <c r="J103" s="6">
        <f>IF(H103="","",H103*(Parametros!$B$7+Parametros!$B$8))</f>
        <v/>
      </c>
      <c r="K103" s="6">
        <f>IF(E103="","",E103*Parametros!$B$6*(Parametros!$B$4+Parametros!$B$5))</f>
        <v/>
      </c>
      <c r="L103" s="6">
        <f>IF(E103="","",SUM(G103:K103))</f>
        <v/>
      </c>
    </row>
    <row r="104">
      <c r="E104" s="8" t="n"/>
      <c r="G104" s="6">
        <f>IF(E104="","",E104/12)</f>
        <v/>
      </c>
      <c r="H104" s="6">
        <f>IF(E104="","",E104/12*(1+Parametros!$B$9))</f>
        <v/>
      </c>
      <c r="I104" s="6">
        <f>IF(G104="","",G104*(Parametros!$B$7+Parametros!$B$8))</f>
        <v/>
      </c>
      <c r="J104" s="6">
        <f>IF(H104="","",H104*(Parametros!$B$7+Parametros!$B$8))</f>
        <v/>
      </c>
      <c r="K104" s="6">
        <f>IF(E104="","",E104*Parametros!$B$6*(Parametros!$B$4+Parametros!$B$5))</f>
        <v/>
      </c>
      <c r="L104" s="6">
        <f>IF(E104="","",SUM(G104:K104))</f>
        <v/>
      </c>
    </row>
    <row r="105">
      <c r="E105" s="8" t="n"/>
      <c r="G105" s="6">
        <f>IF(E105="","",E105/12)</f>
        <v/>
      </c>
      <c r="H105" s="6">
        <f>IF(E105="","",E105/12*(1+Parametros!$B$9))</f>
        <v/>
      </c>
      <c r="I105" s="6">
        <f>IF(G105="","",G105*(Parametros!$B$7+Parametros!$B$8))</f>
        <v/>
      </c>
      <c r="J105" s="6">
        <f>IF(H105="","",H105*(Parametros!$B$7+Parametros!$B$8))</f>
        <v/>
      </c>
      <c r="K105" s="6">
        <f>IF(E105="","",E105*Parametros!$B$6*(Parametros!$B$4+Parametros!$B$5))</f>
        <v/>
      </c>
      <c r="L105" s="6">
        <f>IF(E105="","",SUM(G105:K105))</f>
        <v/>
      </c>
    </row>
    <row r="106">
      <c r="E106" s="8" t="n"/>
      <c r="G106" s="6">
        <f>IF(E106="","",E106/12)</f>
        <v/>
      </c>
      <c r="H106" s="6">
        <f>IF(E106="","",E106/12*(1+Parametros!$B$9))</f>
        <v/>
      </c>
      <c r="I106" s="6">
        <f>IF(G106="","",G106*(Parametros!$B$7+Parametros!$B$8))</f>
        <v/>
      </c>
      <c r="J106" s="6">
        <f>IF(H106="","",H106*(Parametros!$B$7+Parametros!$B$8))</f>
        <v/>
      </c>
      <c r="K106" s="6">
        <f>IF(E106="","",E106*Parametros!$B$6*(Parametros!$B$4+Parametros!$B$5))</f>
        <v/>
      </c>
      <c r="L106" s="6">
        <f>IF(E106="","",SUM(G106:K106))</f>
        <v/>
      </c>
    </row>
    <row r="107">
      <c r="E107" s="8" t="n"/>
      <c r="G107" s="6">
        <f>IF(E107="","",E107/12)</f>
        <v/>
      </c>
      <c r="H107" s="6">
        <f>IF(E107="","",E107/12*(1+Parametros!$B$9))</f>
        <v/>
      </c>
      <c r="I107" s="6">
        <f>IF(G107="","",G107*(Parametros!$B$7+Parametros!$B$8))</f>
        <v/>
      </c>
      <c r="J107" s="6">
        <f>IF(H107="","",H107*(Parametros!$B$7+Parametros!$B$8))</f>
        <v/>
      </c>
      <c r="K107" s="6">
        <f>IF(E107="","",E107*Parametros!$B$6*(Parametros!$B$4+Parametros!$B$5))</f>
        <v/>
      </c>
      <c r="L107" s="6">
        <f>IF(E107="","",SUM(G107:K107))</f>
        <v/>
      </c>
    </row>
    <row r="108">
      <c r="E108" s="8" t="n"/>
      <c r="G108" s="6">
        <f>IF(E108="","",E108/12)</f>
        <v/>
      </c>
      <c r="H108" s="6">
        <f>IF(E108="","",E108/12*(1+Parametros!$B$9))</f>
        <v/>
      </c>
      <c r="I108" s="6">
        <f>IF(G108="","",G108*(Parametros!$B$7+Parametros!$B$8))</f>
        <v/>
      </c>
      <c r="J108" s="6">
        <f>IF(H108="","",H108*(Parametros!$B$7+Parametros!$B$8))</f>
        <v/>
      </c>
      <c r="K108" s="6">
        <f>IF(E108="","",E108*Parametros!$B$6*(Parametros!$B$4+Parametros!$B$5))</f>
        <v/>
      </c>
      <c r="L108" s="6">
        <f>IF(E108="","",SUM(G108:K108))</f>
        <v/>
      </c>
    </row>
    <row r="109">
      <c r="E109" s="8" t="n"/>
      <c r="G109" s="6">
        <f>IF(E109="","",E109/12)</f>
        <v/>
      </c>
      <c r="H109" s="6">
        <f>IF(E109="","",E109/12*(1+Parametros!$B$9))</f>
        <v/>
      </c>
      <c r="I109" s="6">
        <f>IF(G109="","",G109*(Parametros!$B$7+Parametros!$B$8))</f>
        <v/>
      </c>
      <c r="J109" s="6">
        <f>IF(H109="","",H109*(Parametros!$B$7+Parametros!$B$8))</f>
        <v/>
      </c>
      <c r="K109" s="6">
        <f>IF(E109="","",E109*Parametros!$B$6*(Parametros!$B$4+Parametros!$B$5))</f>
        <v/>
      </c>
      <c r="L109" s="6">
        <f>IF(E109="","",SUM(G109:K109))</f>
        <v/>
      </c>
    </row>
    <row r="110">
      <c r="E110" s="8" t="n"/>
      <c r="G110" s="6">
        <f>IF(E110="","",E110/12)</f>
        <v/>
      </c>
      <c r="H110" s="6">
        <f>IF(E110="","",E110/12*(1+Parametros!$B$9))</f>
        <v/>
      </c>
      <c r="I110" s="6">
        <f>IF(G110="","",G110*(Parametros!$B$7+Parametros!$B$8))</f>
        <v/>
      </c>
      <c r="J110" s="6">
        <f>IF(H110="","",H110*(Parametros!$B$7+Parametros!$B$8))</f>
        <v/>
      </c>
      <c r="K110" s="6">
        <f>IF(E110="","",E110*Parametros!$B$6*(Parametros!$B$4+Parametros!$B$5))</f>
        <v/>
      </c>
      <c r="L110" s="6">
        <f>IF(E110="","",SUM(G110:K110))</f>
        <v/>
      </c>
    </row>
    <row r="111">
      <c r="E111" s="8" t="n"/>
      <c r="G111" s="6">
        <f>IF(E111="","",E111/12)</f>
        <v/>
      </c>
      <c r="H111" s="6">
        <f>IF(E111="","",E111/12*(1+Parametros!$B$9))</f>
        <v/>
      </c>
      <c r="I111" s="6">
        <f>IF(G111="","",G111*(Parametros!$B$7+Parametros!$B$8))</f>
        <v/>
      </c>
      <c r="J111" s="6">
        <f>IF(H111="","",H111*(Parametros!$B$7+Parametros!$B$8))</f>
        <v/>
      </c>
      <c r="K111" s="6">
        <f>IF(E111="","",E111*Parametros!$B$6*(Parametros!$B$4+Parametros!$B$5))</f>
        <v/>
      </c>
      <c r="L111" s="6">
        <f>IF(E111="","",SUM(G111:K111))</f>
        <v/>
      </c>
    </row>
    <row r="112">
      <c r="E112" s="8" t="n"/>
      <c r="G112" s="6">
        <f>IF(E112="","",E112/12)</f>
        <v/>
      </c>
      <c r="H112" s="6">
        <f>IF(E112="","",E112/12*(1+Parametros!$B$9))</f>
        <v/>
      </c>
      <c r="I112" s="6">
        <f>IF(G112="","",G112*(Parametros!$B$7+Parametros!$B$8))</f>
        <v/>
      </c>
      <c r="J112" s="6">
        <f>IF(H112="","",H112*(Parametros!$B$7+Parametros!$B$8))</f>
        <v/>
      </c>
      <c r="K112" s="6">
        <f>IF(E112="","",E112*Parametros!$B$6*(Parametros!$B$4+Parametros!$B$5))</f>
        <v/>
      </c>
      <c r="L112" s="6">
        <f>IF(E112="","",SUM(G112:K112))</f>
        <v/>
      </c>
    </row>
    <row r="113">
      <c r="E113" s="8" t="n"/>
      <c r="G113" s="6">
        <f>IF(E113="","",E113/12)</f>
        <v/>
      </c>
      <c r="H113" s="6">
        <f>IF(E113="","",E113/12*(1+Parametros!$B$9))</f>
        <v/>
      </c>
      <c r="I113" s="6">
        <f>IF(G113="","",G113*(Parametros!$B$7+Parametros!$B$8))</f>
        <v/>
      </c>
      <c r="J113" s="6">
        <f>IF(H113="","",H113*(Parametros!$B$7+Parametros!$B$8))</f>
        <v/>
      </c>
      <c r="K113" s="6">
        <f>IF(E113="","",E113*Parametros!$B$6*(Parametros!$B$4+Parametros!$B$5))</f>
        <v/>
      </c>
      <c r="L113" s="6">
        <f>IF(E113="","",SUM(G113:K113))</f>
        <v/>
      </c>
    </row>
    <row r="114">
      <c r="E114" s="8" t="n"/>
      <c r="G114" s="6">
        <f>IF(E114="","",E114/12)</f>
        <v/>
      </c>
      <c r="H114" s="6">
        <f>IF(E114="","",E114/12*(1+Parametros!$B$9))</f>
        <v/>
      </c>
      <c r="I114" s="6">
        <f>IF(G114="","",G114*(Parametros!$B$7+Parametros!$B$8))</f>
        <v/>
      </c>
      <c r="J114" s="6">
        <f>IF(H114="","",H114*(Parametros!$B$7+Parametros!$B$8))</f>
        <v/>
      </c>
      <c r="K114" s="6">
        <f>IF(E114="","",E114*Parametros!$B$6*(Parametros!$B$4+Parametros!$B$5))</f>
        <v/>
      </c>
      <c r="L114" s="6">
        <f>IF(E114="","",SUM(G114:K114))</f>
        <v/>
      </c>
    </row>
    <row r="115">
      <c r="E115" s="8" t="n"/>
      <c r="G115" s="6">
        <f>IF(E115="","",E115/12)</f>
        <v/>
      </c>
      <c r="H115" s="6">
        <f>IF(E115="","",E115/12*(1+Parametros!$B$9))</f>
        <v/>
      </c>
      <c r="I115" s="6">
        <f>IF(G115="","",G115*(Parametros!$B$7+Parametros!$B$8))</f>
        <v/>
      </c>
      <c r="J115" s="6">
        <f>IF(H115="","",H115*(Parametros!$B$7+Parametros!$B$8))</f>
        <v/>
      </c>
      <c r="K115" s="6">
        <f>IF(E115="","",E115*Parametros!$B$6*(Parametros!$B$4+Parametros!$B$5))</f>
        <v/>
      </c>
      <c r="L115" s="6">
        <f>IF(E115="","",SUM(G115:K115))</f>
        <v/>
      </c>
    </row>
    <row r="116">
      <c r="E116" s="8" t="n"/>
      <c r="G116" s="6">
        <f>IF(E116="","",E116/12)</f>
        <v/>
      </c>
      <c r="H116" s="6">
        <f>IF(E116="","",E116/12*(1+Parametros!$B$9))</f>
        <v/>
      </c>
      <c r="I116" s="6">
        <f>IF(G116="","",G116*(Parametros!$B$7+Parametros!$B$8))</f>
        <v/>
      </c>
      <c r="J116" s="6">
        <f>IF(H116="","",H116*(Parametros!$B$7+Parametros!$B$8))</f>
        <v/>
      </c>
      <c r="K116" s="6">
        <f>IF(E116="","",E116*Parametros!$B$6*(Parametros!$B$4+Parametros!$B$5))</f>
        <v/>
      </c>
      <c r="L116" s="6">
        <f>IF(E116="","",SUM(G116:K116))</f>
        <v/>
      </c>
    </row>
    <row r="117">
      <c r="E117" s="8" t="n"/>
      <c r="G117" s="6">
        <f>IF(E117="","",E117/12)</f>
        <v/>
      </c>
      <c r="H117" s="6">
        <f>IF(E117="","",E117/12*(1+Parametros!$B$9))</f>
        <v/>
      </c>
      <c r="I117" s="6">
        <f>IF(G117="","",G117*(Parametros!$B$7+Parametros!$B$8))</f>
        <v/>
      </c>
      <c r="J117" s="6">
        <f>IF(H117="","",H117*(Parametros!$B$7+Parametros!$B$8))</f>
        <v/>
      </c>
      <c r="K117" s="6">
        <f>IF(E117="","",E117*Parametros!$B$6*(Parametros!$B$4+Parametros!$B$5))</f>
        <v/>
      </c>
      <c r="L117" s="6">
        <f>IF(E117="","",SUM(G117:K117))</f>
        <v/>
      </c>
    </row>
    <row r="118">
      <c r="E118" s="8" t="n"/>
      <c r="G118" s="6">
        <f>IF(E118="","",E118/12)</f>
        <v/>
      </c>
      <c r="H118" s="6">
        <f>IF(E118="","",E118/12*(1+Parametros!$B$9))</f>
        <v/>
      </c>
      <c r="I118" s="6">
        <f>IF(G118="","",G118*(Parametros!$B$7+Parametros!$B$8))</f>
        <v/>
      </c>
      <c r="J118" s="6">
        <f>IF(H118="","",H118*(Parametros!$B$7+Parametros!$B$8))</f>
        <v/>
      </c>
      <c r="K118" s="6">
        <f>IF(E118="","",E118*Parametros!$B$6*(Parametros!$B$4+Parametros!$B$5))</f>
        <v/>
      </c>
      <c r="L118" s="6">
        <f>IF(E118="","",SUM(G118:K118))</f>
        <v/>
      </c>
    </row>
    <row r="119">
      <c r="E119" s="8" t="n"/>
      <c r="G119" s="6">
        <f>IF(E119="","",E119/12)</f>
        <v/>
      </c>
      <c r="H119" s="6">
        <f>IF(E119="","",E119/12*(1+Parametros!$B$9))</f>
        <v/>
      </c>
      <c r="I119" s="6">
        <f>IF(G119="","",G119*(Parametros!$B$7+Parametros!$B$8))</f>
        <v/>
      </c>
      <c r="J119" s="6">
        <f>IF(H119="","",H119*(Parametros!$B$7+Parametros!$B$8))</f>
        <v/>
      </c>
      <c r="K119" s="6">
        <f>IF(E119="","",E119*Parametros!$B$6*(Parametros!$B$4+Parametros!$B$5))</f>
        <v/>
      </c>
      <c r="L119" s="6">
        <f>IF(E119="","",SUM(G119:K119))</f>
        <v/>
      </c>
    </row>
    <row r="120">
      <c r="E120" s="8" t="n"/>
      <c r="G120" s="6">
        <f>IF(E120="","",E120/12)</f>
        <v/>
      </c>
      <c r="H120" s="6">
        <f>IF(E120="","",E120/12*(1+Parametros!$B$9))</f>
        <v/>
      </c>
      <c r="I120" s="6">
        <f>IF(G120="","",G120*(Parametros!$B$7+Parametros!$B$8))</f>
        <v/>
      </c>
      <c r="J120" s="6">
        <f>IF(H120="","",H120*(Parametros!$B$7+Parametros!$B$8))</f>
        <v/>
      </c>
      <c r="K120" s="6">
        <f>IF(E120="","",E120*Parametros!$B$6*(Parametros!$B$4+Parametros!$B$5))</f>
        <v/>
      </c>
      <c r="L120" s="6">
        <f>IF(E120="","",SUM(G120:K120))</f>
        <v/>
      </c>
    </row>
    <row r="121">
      <c r="E121" s="8" t="n"/>
      <c r="G121" s="6">
        <f>IF(E121="","",E121/12)</f>
        <v/>
      </c>
      <c r="H121" s="6">
        <f>IF(E121="","",E121/12*(1+Parametros!$B$9))</f>
        <v/>
      </c>
      <c r="I121" s="6">
        <f>IF(G121="","",G121*(Parametros!$B$7+Parametros!$B$8))</f>
        <v/>
      </c>
      <c r="J121" s="6">
        <f>IF(H121="","",H121*(Parametros!$B$7+Parametros!$B$8))</f>
        <v/>
      </c>
      <c r="K121" s="6">
        <f>IF(E121="","",E121*Parametros!$B$6*(Parametros!$B$4+Parametros!$B$5))</f>
        <v/>
      </c>
      <c r="L121" s="6">
        <f>IF(E121="","",SUM(G121:K121))</f>
        <v/>
      </c>
    </row>
    <row r="122">
      <c r="E122" s="8" t="n"/>
      <c r="G122" s="6">
        <f>IF(E122="","",E122/12)</f>
        <v/>
      </c>
      <c r="H122" s="6">
        <f>IF(E122="","",E122/12*(1+Parametros!$B$9))</f>
        <v/>
      </c>
      <c r="I122" s="6">
        <f>IF(G122="","",G122*(Parametros!$B$7+Parametros!$B$8))</f>
        <v/>
      </c>
      <c r="J122" s="6">
        <f>IF(H122="","",H122*(Parametros!$B$7+Parametros!$B$8))</f>
        <v/>
      </c>
      <c r="K122" s="6">
        <f>IF(E122="","",E122*Parametros!$B$6*(Parametros!$B$4+Parametros!$B$5))</f>
        <v/>
      </c>
      <c r="L122" s="6">
        <f>IF(E122="","",SUM(G122:K122))</f>
        <v/>
      </c>
    </row>
    <row r="123">
      <c r="E123" s="8" t="n"/>
      <c r="G123" s="6">
        <f>IF(E123="","",E123/12)</f>
        <v/>
      </c>
      <c r="H123" s="6">
        <f>IF(E123="","",E123/12*(1+Parametros!$B$9))</f>
        <v/>
      </c>
      <c r="I123" s="6">
        <f>IF(G123="","",G123*(Parametros!$B$7+Parametros!$B$8))</f>
        <v/>
      </c>
      <c r="J123" s="6">
        <f>IF(H123="","",H123*(Parametros!$B$7+Parametros!$B$8))</f>
        <v/>
      </c>
      <c r="K123" s="6">
        <f>IF(E123="","",E123*Parametros!$B$6*(Parametros!$B$4+Parametros!$B$5))</f>
        <v/>
      </c>
      <c r="L123" s="6">
        <f>IF(E123="","",SUM(G123:K123))</f>
        <v/>
      </c>
    </row>
    <row r="124">
      <c r="E124" s="8" t="n"/>
      <c r="G124" s="6">
        <f>IF(E124="","",E124/12)</f>
        <v/>
      </c>
      <c r="H124" s="6">
        <f>IF(E124="","",E124/12*(1+Parametros!$B$9))</f>
        <v/>
      </c>
      <c r="I124" s="6">
        <f>IF(G124="","",G124*(Parametros!$B$7+Parametros!$B$8))</f>
        <v/>
      </c>
      <c r="J124" s="6">
        <f>IF(H124="","",H124*(Parametros!$B$7+Parametros!$B$8))</f>
        <v/>
      </c>
      <c r="K124" s="6">
        <f>IF(E124="","",E124*Parametros!$B$6*(Parametros!$B$4+Parametros!$B$5))</f>
        <v/>
      </c>
      <c r="L124" s="6">
        <f>IF(E124="","",SUM(G124:K124))</f>
        <v/>
      </c>
    </row>
    <row r="125">
      <c r="E125" s="8" t="n"/>
      <c r="G125" s="6">
        <f>IF(E125="","",E125/12)</f>
        <v/>
      </c>
      <c r="H125" s="6">
        <f>IF(E125="","",E125/12*(1+Parametros!$B$9))</f>
        <v/>
      </c>
      <c r="I125" s="6">
        <f>IF(G125="","",G125*(Parametros!$B$7+Parametros!$B$8))</f>
        <v/>
      </c>
      <c r="J125" s="6">
        <f>IF(H125="","",H125*(Parametros!$B$7+Parametros!$B$8))</f>
        <v/>
      </c>
      <c r="K125" s="6">
        <f>IF(E125="","",E125*Parametros!$B$6*(Parametros!$B$4+Parametros!$B$5))</f>
        <v/>
      </c>
      <c r="L125" s="6">
        <f>IF(E125="","",SUM(G125:K125))</f>
        <v/>
      </c>
    </row>
    <row r="126">
      <c r="E126" s="8" t="n"/>
      <c r="G126" s="6">
        <f>IF(E126="","",E126/12)</f>
        <v/>
      </c>
      <c r="H126" s="6">
        <f>IF(E126="","",E126/12*(1+Parametros!$B$9))</f>
        <v/>
      </c>
      <c r="I126" s="6">
        <f>IF(G126="","",G126*(Parametros!$B$7+Parametros!$B$8))</f>
        <v/>
      </c>
      <c r="J126" s="6">
        <f>IF(H126="","",H126*(Parametros!$B$7+Parametros!$B$8))</f>
        <v/>
      </c>
      <c r="K126" s="6">
        <f>IF(E126="","",E126*Parametros!$B$6*(Parametros!$B$4+Parametros!$B$5))</f>
        <v/>
      </c>
      <c r="L126" s="6">
        <f>IF(E126="","",SUM(G126:K126))</f>
        <v/>
      </c>
    </row>
    <row r="127">
      <c r="E127" s="8" t="n"/>
      <c r="G127" s="6">
        <f>IF(E127="","",E127/12)</f>
        <v/>
      </c>
      <c r="H127" s="6">
        <f>IF(E127="","",E127/12*(1+Parametros!$B$9))</f>
        <v/>
      </c>
      <c r="I127" s="6">
        <f>IF(G127="","",G127*(Parametros!$B$7+Parametros!$B$8))</f>
        <v/>
      </c>
      <c r="J127" s="6">
        <f>IF(H127="","",H127*(Parametros!$B$7+Parametros!$B$8))</f>
        <v/>
      </c>
      <c r="K127" s="6">
        <f>IF(E127="","",E127*Parametros!$B$6*(Parametros!$B$4+Parametros!$B$5))</f>
        <v/>
      </c>
      <c r="L127" s="6">
        <f>IF(E127="","",SUM(G127:K127))</f>
        <v/>
      </c>
    </row>
    <row r="128">
      <c r="E128" s="8" t="n"/>
      <c r="G128" s="6">
        <f>IF(E128="","",E128/12)</f>
        <v/>
      </c>
      <c r="H128" s="6">
        <f>IF(E128="","",E128/12*(1+Parametros!$B$9))</f>
        <v/>
      </c>
      <c r="I128" s="6">
        <f>IF(G128="","",G128*(Parametros!$B$7+Parametros!$B$8))</f>
        <v/>
      </c>
      <c r="J128" s="6">
        <f>IF(H128="","",H128*(Parametros!$B$7+Parametros!$B$8))</f>
        <v/>
      </c>
      <c r="K128" s="6">
        <f>IF(E128="","",E128*Parametros!$B$6*(Parametros!$B$4+Parametros!$B$5))</f>
        <v/>
      </c>
      <c r="L128" s="6">
        <f>IF(E128="","",SUM(G128:K128))</f>
        <v/>
      </c>
    </row>
    <row r="129">
      <c r="E129" s="8" t="n"/>
      <c r="G129" s="6">
        <f>IF(E129="","",E129/12)</f>
        <v/>
      </c>
      <c r="H129" s="6">
        <f>IF(E129="","",E129/12*(1+Parametros!$B$9))</f>
        <v/>
      </c>
      <c r="I129" s="6">
        <f>IF(G129="","",G129*(Parametros!$B$7+Parametros!$B$8))</f>
        <v/>
      </c>
      <c r="J129" s="6">
        <f>IF(H129="","",H129*(Parametros!$B$7+Parametros!$B$8))</f>
        <v/>
      </c>
      <c r="K129" s="6">
        <f>IF(E129="","",E129*Parametros!$B$6*(Parametros!$B$4+Parametros!$B$5))</f>
        <v/>
      </c>
      <c r="L129" s="6">
        <f>IF(E129="","",SUM(G129:K129))</f>
        <v/>
      </c>
    </row>
    <row r="130">
      <c r="E130" s="8" t="n"/>
      <c r="G130" s="6">
        <f>IF(E130="","",E130/12)</f>
        <v/>
      </c>
      <c r="H130" s="6">
        <f>IF(E130="","",E130/12*(1+Parametros!$B$9))</f>
        <v/>
      </c>
      <c r="I130" s="6">
        <f>IF(G130="","",G130*(Parametros!$B$7+Parametros!$B$8))</f>
        <v/>
      </c>
      <c r="J130" s="6">
        <f>IF(H130="","",H130*(Parametros!$B$7+Parametros!$B$8))</f>
        <v/>
      </c>
      <c r="K130" s="6">
        <f>IF(E130="","",E130*Parametros!$B$6*(Parametros!$B$4+Parametros!$B$5))</f>
        <v/>
      </c>
      <c r="L130" s="6">
        <f>IF(E130="","",SUM(G130:K130))</f>
        <v/>
      </c>
    </row>
    <row r="131">
      <c r="E131" s="8" t="n"/>
      <c r="G131" s="6">
        <f>IF(E131="","",E131/12)</f>
        <v/>
      </c>
      <c r="H131" s="6">
        <f>IF(E131="","",E131/12*(1+Parametros!$B$9))</f>
        <v/>
      </c>
      <c r="I131" s="6">
        <f>IF(G131="","",G131*(Parametros!$B$7+Parametros!$B$8))</f>
        <v/>
      </c>
      <c r="J131" s="6">
        <f>IF(H131="","",H131*(Parametros!$B$7+Parametros!$B$8))</f>
        <v/>
      </c>
      <c r="K131" s="6">
        <f>IF(E131="","",E131*Parametros!$B$6*(Parametros!$B$4+Parametros!$B$5))</f>
        <v/>
      </c>
      <c r="L131" s="6">
        <f>IF(E131="","",SUM(G131:K131))</f>
        <v/>
      </c>
    </row>
    <row r="132">
      <c r="E132" s="8" t="n"/>
      <c r="G132" s="6">
        <f>IF(E132="","",E132/12)</f>
        <v/>
      </c>
      <c r="H132" s="6">
        <f>IF(E132="","",E132/12*(1+Parametros!$B$9))</f>
        <v/>
      </c>
      <c r="I132" s="6">
        <f>IF(G132="","",G132*(Parametros!$B$7+Parametros!$B$8))</f>
        <v/>
      </c>
      <c r="J132" s="6">
        <f>IF(H132="","",H132*(Parametros!$B$7+Parametros!$B$8))</f>
        <v/>
      </c>
      <c r="K132" s="6">
        <f>IF(E132="","",E132*Parametros!$B$6*(Parametros!$B$4+Parametros!$B$5))</f>
        <v/>
      </c>
      <c r="L132" s="6">
        <f>IF(E132="","",SUM(G132:K132))</f>
        <v/>
      </c>
    </row>
    <row r="133">
      <c r="E133" s="8" t="n"/>
      <c r="G133" s="6">
        <f>IF(E133="","",E133/12)</f>
        <v/>
      </c>
      <c r="H133" s="6">
        <f>IF(E133="","",E133/12*(1+Parametros!$B$9))</f>
        <v/>
      </c>
      <c r="I133" s="6">
        <f>IF(G133="","",G133*(Parametros!$B$7+Parametros!$B$8))</f>
        <v/>
      </c>
      <c r="J133" s="6">
        <f>IF(H133="","",H133*(Parametros!$B$7+Parametros!$B$8))</f>
        <v/>
      </c>
      <c r="K133" s="6">
        <f>IF(E133="","",E133*Parametros!$B$6*(Parametros!$B$4+Parametros!$B$5))</f>
        <v/>
      </c>
      <c r="L133" s="6">
        <f>IF(E133="","",SUM(G133:K133))</f>
        <v/>
      </c>
    </row>
    <row r="134">
      <c r="E134" s="8" t="n"/>
      <c r="G134" s="6">
        <f>IF(E134="","",E134/12)</f>
        <v/>
      </c>
      <c r="H134" s="6">
        <f>IF(E134="","",E134/12*(1+Parametros!$B$9))</f>
        <v/>
      </c>
      <c r="I134" s="6">
        <f>IF(G134="","",G134*(Parametros!$B$7+Parametros!$B$8))</f>
        <v/>
      </c>
      <c r="J134" s="6">
        <f>IF(H134="","",H134*(Parametros!$B$7+Parametros!$B$8))</f>
        <v/>
      </c>
      <c r="K134" s="6">
        <f>IF(E134="","",E134*Parametros!$B$6*(Parametros!$B$4+Parametros!$B$5))</f>
        <v/>
      </c>
      <c r="L134" s="6">
        <f>IF(E134="","",SUM(G134:K134))</f>
        <v/>
      </c>
    </row>
    <row r="135">
      <c r="E135" s="8" t="n"/>
      <c r="G135" s="6">
        <f>IF(E135="","",E135/12)</f>
        <v/>
      </c>
      <c r="H135" s="6">
        <f>IF(E135="","",E135/12*(1+Parametros!$B$9))</f>
        <v/>
      </c>
      <c r="I135" s="6">
        <f>IF(G135="","",G135*(Parametros!$B$7+Parametros!$B$8))</f>
        <v/>
      </c>
      <c r="J135" s="6">
        <f>IF(H135="","",H135*(Parametros!$B$7+Parametros!$B$8))</f>
        <v/>
      </c>
      <c r="K135" s="6">
        <f>IF(E135="","",E135*Parametros!$B$6*(Parametros!$B$4+Parametros!$B$5))</f>
        <v/>
      </c>
      <c r="L135" s="6">
        <f>IF(E135="","",SUM(G135:K135))</f>
        <v/>
      </c>
    </row>
    <row r="136">
      <c r="E136" s="8" t="n"/>
      <c r="G136" s="6">
        <f>IF(E136="","",E136/12)</f>
        <v/>
      </c>
      <c r="H136" s="6">
        <f>IF(E136="","",E136/12*(1+Parametros!$B$9))</f>
        <v/>
      </c>
      <c r="I136" s="6">
        <f>IF(G136="","",G136*(Parametros!$B$7+Parametros!$B$8))</f>
        <v/>
      </c>
      <c r="J136" s="6">
        <f>IF(H136="","",H136*(Parametros!$B$7+Parametros!$B$8))</f>
        <v/>
      </c>
      <c r="K136" s="6">
        <f>IF(E136="","",E136*Parametros!$B$6*(Parametros!$B$4+Parametros!$B$5))</f>
        <v/>
      </c>
      <c r="L136" s="6">
        <f>IF(E136="","",SUM(G136:K136))</f>
        <v/>
      </c>
    </row>
    <row r="137">
      <c r="E137" s="8" t="n"/>
      <c r="G137" s="6">
        <f>IF(E137="","",E137/12)</f>
        <v/>
      </c>
      <c r="H137" s="6">
        <f>IF(E137="","",E137/12*(1+Parametros!$B$9))</f>
        <v/>
      </c>
      <c r="I137" s="6">
        <f>IF(G137="","",G137*(Parametros!$B$7+Parametros!$B$8))</f>
        <v/>
      </c>
      <c r="J137" s="6">
        <f>IF(H137="","",H137*(Parametros!$B$7+Parametros!$B$8))</f>
        <v/>
      </c>
      <c r="K137" s="6">
        <f>IF(E137="","",E137*Parametros!$B$6*(Parametros!$B$4+Parametros!$B$5))</f>
        <v/>
      </c>
      <c r="L137" s="6">
        <f>IF(E137="","",SUM(G137:K137))</f>
        <v/>
      </c>
    </row>
    <row r="138">
      <c r="E138" s="8" t="n"/>
      <c r="G138" s="6">
        <f>IF(E138="","",E138/12)</f>
        <v/>
      </c>
      <c r="H138" s="6">
        <f>IF(E138="","",E138/12*(1+Parametros!$B$9))</f>
        <v/>
      </c>
      <c r="I138" s="6">
        <f>IF(G138="","",G138*(Parametros!$B$7+Parametros!$B$8))</f>
        <v/>
      </c>
      <c r="J138" s="6">
        <f>IF(H138="","",H138*(Parametros!$B$7+Parametros!$B$8))</f>
        <v/>
      </c>
      <c r="K138" s="6">
        <f>IF(E138="","",E138*Parametros!$B$6*(Parametros!$B$4+Parametros!$B$5))</f>
        <v/>
      </c>
      <c r="L138" s="6">
        <f>IF(E138="","",SUM(G138:K138))</f>
        <v/>
      </c>
    </row>
    <row r="139">
      <c r="E139" s="8" t="n"/>
      <c r="G139" s="6">
        <f>IF(E139="","",E139/12)</f>
        <v/>
      </c>
      <c r="H139" s="6">
        <f>IF(E139="","",E139/12*(1+Parametros!$B$9))</f>
        <v/>
      </c>
      <c r="I139" s="6">
        <f>IF(G139="","",G139*(Parametros!$B$7+Parametros!$B$8))</f>
        <v/>
      </c>
      <c r="J139" s="6">
        <f>IF(H139="","",H139*(Parametros!$B$7+Parametros!$B$8))</f>
        <v/>
      </c>
      <c r="K139" s="6">
        <f>IF(E139="","",E139*Parametros!$B$6*(Parametros!$B$4+Parametros!$B$5))</f>
        <v/>
      </c>
      <c r="L139" s="6">
        <f>IF(E139="","",SUM(G139:K139))</f>
        <v/>
      </c>
    </row>
    <row r="140">
      <c r="E140" s="8" t="n"/>
      <c r="G140" s="6">
        <f>IF(E140="","",E140/12)</f>
        <v/>
      </c>
      <c r="H140" s="6">
        <f>IF(E140="","",E140/12*(1+Parametros!$B$9))</f>
        <v/>
      </c>
      <c r="I140" s="6">
        <f>IF(G140="","",G140*(Parametros!$B$7+Parametros!$B$8))</f>
        <v/>
      </c>
      <c r="J140" s="6">
        <f>IF(H140="","",H140*(Parametros!$B$7+Parametros!$B$8))</f>
        <v/>
      </c>
      <c r="K140" s="6">
        <f>IF(E140="","",E140*Parametros!$B$6*(Parametros!$B$4+Parametros!$B$5))</f>
        <v/>
      </c>
      <c r="L140" s="6">
        <f>IF(E140="","",SUM(G140:K140))</f>
        <v/>
      </c>
    </row>
    <row r="141">
      <c r="E141" s="8" t="n"/>
      <c r="G141" s="6">
        <f>IF(E141="","",E141/12)</f>
        <v/>
      </c>
      <c r="H141" s="6">
        <f>IF(E141="","",E141/12*(1+Parametros!$B$9))</f>
        <v/>
      </c>
      <c r="I141" s="6">
        <f>IF(G141="","",G141*(Parametros!$B$7+Parametros!$B$8))</f>
        <v/>
      </c>
      <c r="J141" s="6">
        <f>IF(H141="","",H141*(Parametros!$B$7+Parametros!$B$8))</f>
        <v/>
      </c>
      <c r="K141" s="6">
        <f>IF(E141="","",E141*Parametros!$B$6*(Parametros!$B$4+Parametros!$B$5))</f>
        <v/>
      </c>
      <c r="L141" s="6">
        <f>IF(E141="","",SUM(G141:K141))</f>
        <v/>
      </c>
    </row>
    <row r="142">
      <c r="E142" s="8" t="n"/>
      <c r="G142" s="6">
        <f>IF(E142="","",E142/12)</f>
        <v/>
      </c>
      <c r="H142" s="6">
        <f>IF(E142="","",E142/12*(1+Parametros!$B$9))</f>
        <v/>
      </c>
      <c r="I142" s="6">
        <f>IF(G142="","",G142*(Parametros!$B$7+Parametros!$B$8))</f>
        <v/>
      </c>
      <c r="J142" s="6">
        <f>IF(H142="","",H142*(Parametros!$B$7+Parametros!$B$8))</f>
        <v/>
      </c>
      <c r="K142" s="6">
        <f>IF(E142="","",E142*Parametros!$B$6*(Parametros!$B$4+Parametros!$B$5))</f>
        <v/>
      </c>
      <c r="L142" s="6">
        <f>IF(E142="","",SUM(G142:K142))</f>
        <v/>
      </c>
    </row>
    <row r="143">
      <c r="E143" s="8" t="n"/>
      <c r="G143" s="6">
        <f>IF(E143="","",E143/12)</f>
        <v/>
      </c>
      <c r="H143" s="6">
        <f>IF(E143="","",E143/12*(1+Parametros!$B$9))</f>
        <v/>
      </c>
      <c r="I143" s="6">
        <f>IF(G143="","",G143*(Parametros!$B$7+Parametros!$B$8))</f>
        <v/>
      </c>
      <c r="J143" s="6">
        <f>IF(H143="","",H143*(Parametros!$B$7+Parametros!$B$8))</f>
        <v/>
      </c>
      <c r="K143" s="6">
        <f>IF(E143="","",E143*Parametros!$B$6*(Parametros!$B$4+Parametros!$B$5))</f>
        <v/>
      </c>
      <c r="L143" s="6">
        <f>IF(E143="","",SUM(G143:K143))</f>
        <v/>
      </c>
    </row>
    <row r="144">
      <c r="E144" s="8" t="n"/>
      <c r="G144" s="6">
        <f>IF(E144="","",E144/12)</f>
        <v/>
      </c>
      <c r="H144" s="6">
        <f>IF(E144="","",E144/12*(1+Parametros!$B$9))</f>
        <v/>
      </c>
      <c r="I144" s="6">
        <f>IF(G144="","",G144*(Parametros!$B$7+Parametros!$B$8))</f>
        <v/>
      </c>
      <c r="J144" s="6">
        <f>IF(H144="","",H144*(Parametros!$B$7+Parametros!$B$8))</f>
        <v/>
      </c>
      <c r="K144" s="6">
        <f>IF(E144="","",E144*Parametros!$B$6*(Parametros!$B$4+Parametros!$B$5))</f>
        <v/>
      </c>
      <c r="L144" s="6">
        <f>IF(E144="","",SUM(G144:K144))</f>
        <v/>
      </c>
    </row>
    <row r="145">
      <c r="E145" s="8" t="n"/>
      <c r="G145" s="6">
        <f>IF(E145="","",E145/12)</f>
        <v/>
      </c>
      <c r="H145" s="6">
        <f>IF(E145="","",E145/12*(1+Parametros!$B$9))</f>
        <v/>
      </c>
      <c r="I145" s="6">
        <f>IF(G145="","",G145*(Parametros!$B$7+Parametros!$B$8))</f>
        <v/>
      </c>
      <c r="J145" s="6">
        <f>IF(H145="","",H145*(Parametros!$B$7+Parametros!$B$8))</f>
        <v/>
      </c>
      <c r="K145" s="6">
        <f>IF(E145="","",E145*Parametros!$B$6*(Parametros!$B$4+Parametros!$B$5))</f>
        <v/>
      </c>
      <c r="L145" s="6">
        <f>IF(E145="","",SUM(G145:K145))</f>
        <v/>
      </c>
    </row>
    <row r="146">
      <c r="E146" s="8" t="n"/>
      <c r="G146" s="6">
        <f>IF(E146="","",E146/12)</f>
        <v/>
      </c>
      <c r="H146" s="6">
        <f>IF(E146="","",E146/12*(1+Parametros!$B$9))</f>
        <v/>
      </c>
      <c r="I146" s="6">
        <f>IF(G146="","",G146*(Parametros!$B$7+Parametros!$B$8))</f>
        <v/>
      </c>
      <c r="J146" s="6">
        <f>IF(H146="","",H146*(Parametros!$B$7+Parametros!$B$8))</f>
        <v/>
      </c>
      <c r="K146" s="6">
        <f>IF(E146="","",E146*Parametros!$B$6*(Parametros!$B$4+Parametros!$B$5))</f>
        <v/>
      </c>
      <c r="L146" s="6">
        <f>IF(E146="","",SUM(G146:K146))</f>
        <v/>
      </c>
    </row>
    <row r="147">
      <c r="E147" s="8" t="n"/>
      <c r="G147" s="6">
        <f>IF(E147="","",E147/12)</f>
        <v/>
      </c>
      <c r="H147" s="6">
        <f>IF(E147="","",E147/12*(1+Parametros!$B$9))</f>
        <v/>
      </c>
      <c r="I147" s="6">
        <f>IF(G147="","",G147*(Parametros!$B$7+Parametros!$B$8))</f>
        <v/>
      </c>
      <c r="J147" s="6">
        <f>IF(H147="","",H147*(Parametros!$B$7+Parametros!$B$8))</f>
        <v/>
      </c>
      <c r="K147" s="6">
        <f>IF(E147="","",E147*Parametros!$B$6*(Parametros!$B$4+Parametros!$B$5))</f>
        <v/>
      </c>
      <c r="L147" s="6">
        <f>IF(E147="","",SUM(G147:K147))</f>
        <v/>
      </c>
    </row>
    <row r="148">
      <c r="E148" s="8" t="n"/>
      <c r="G148" s="6">
        <f>IF(E148="","",E148/12)</f>
        <v/>
      </c>
      <c r="H148" s="6">
        <f>IF(E148="","",E148/12*(1+Parametros!$B$9))</f>
        <v/>
      </c>
      <c r="I148" s="6">
        <f>IF(G148="","",G148*(Parametros!$B$7+Parametros!$B$8))</f>
        <v/>
      </c>
      <c r="J148" s="6">
        <f>IF(H148="","",H148*(Parametros!$B$7+Parametros!$B$8))</f>
        <v/>
      </c>
      <c r="K148" s="6">
        <f>IF(E148="","",E148*Parametros!$B$6*(Parametros!$B$4+Parametros!$B$5))</f>
        <v/>
      </c>
      <c r="L148" s="6">
        <f>IF(E148="","",SUM(G148:K148))</f>
        <v/>
      </c>
    </row>
    <row r="149">
      <c r="E149" s="8" t="n"/>
      <c r="G149" s="6">
        <f>IF(E149="","",E149/12)</f>
        <v/>
      </c>
      <c r="H149" s="6">
        <f>IF(E149="","",E149/12*(1+Parametros!$B$9))</f>
        <v/>
      </c>
      <c r="I149" s="6">
        <f>IF(G149="","",G149*(Parametros!$B$7+Parametros!$B$8))</f>
        <v/>
      </c>
      <c r="J149" s="6">
        <f>IF(H149="","",H149*(Parametros!$B$7+Parametros!$B$8))</f>
        <v/>
      </c>
      <c r="K149" s="6">
        <f>IF(E149="","",E149*Parametros!$B$6*(Parametros!$B$4+Parametros!$B$5))</f>
        <v/>
      </c>
      <c r="L149" s="6">
        <f>IF(E149="","",SUM(G149:K149))</f>
        <v/>
      </c>
    </row>
    <row r="150">
      <c r="E150" s="8" t="n"/>
      <c r="G150" s="6">
        <f>IF(E150="","",E150/12)</f>
        <v/>
      </c>
      <c r="H150" s="6">
        <f>IF(E150="","",E150/12*(1+Parametros!$B$9))</f>
        <v/>
      </c>
      <c r="I150" s="6">
        <f>IF(G150="","",G150*(Parametros!$B$7+Parametros!$B$8))</f>
        <v/>
      </c>
      <c r="J150" s="6">
        <f>IF(H150="","",H150*(Parametros!$B$7+Parametros!$B$8))</f>
        <v/>
      </c>
      <c r="K150" s="6">
        <f>IF(E150="","",E150*Parametros!$B$6*(Parametros!$B$4+Parametros!$B$5))</f>
        <v/>
      </c>
      <c r="L150" s="6">
        <f>IF(E150="","",SUM(G150:K150))</f>
        <v/>
      </c>
    </row>
    <row r="151">
      <c r="E151" s="8" t="n"/>
      <c r="G151" s="6">
        <f>IF(E151="","",E151/12)</f>
        <v/>
      </c>
      <c r="H151" s="6">
        <f>IF(E151="","",E151/12*(1+Parametros!$B$9))</f>
        <v/>
      </c>
      <c r="I151" s="6">
        <f>IF(G151="","",G151*(Parametros!$B$7+Parametros!$B$8))</f>
        <v/>
      </c>
      <c r="J151" s="6">
        <f>IF(H151="","",H151*(Parametros!$B$7+Parametros!$B$8))</f>
        <v/>
      </c>
      <c r="K151" s="6">
        <f>IF(E151="","",E151*Parametros!$B$6*(Parametros!$B$4+Parametros!$B$5))</f>
        <v/>
      </c>
      <c r="L151" s="6">
        <f>IF(E151="","",SUM(G151:K151))</f>
        <v/>
      </c>
    </row>
    <row r="152">
      <c r="E152" s="8" t="n"/>
      <c r="G152" s="6">
        <f>IF(E152="","",E152/12)</f>
        <v/>
      </c>
      <c r="H152" s="6">
        <f>IF(E152="","",E152/12*(1+Parametros!$B$9))</f>
        <v/>
      </c>
      <c r="I152" s="6">
        <f>IF(G152="","",G152*(Parametros!$B$7+Parametros!$B$8))</f>
        <v/>
      </c>
      <c r="J152" s="6">
        <f>IF(H152="","",H152*(Parametros!$B$7+Parametros!$B$8))</f>
        <v/>
      </c>
      <c r="K152" s="6">
        <f>IF(E152="","",E152*Parametros!$B$6*(Parametros!$B$4+Parametros!$B$5))</f>
        <v/>
      </c>
      <c r="L152" s="6">
        <f>IF(E152="","",SUM(G152:K152))</f>
        <v/>
      </c>
    </row>
    <row r="153">
      <c r="E153" s="8" t="n"/>
      <c r="G153" s="6">
        <f>IF(E153="","",E153/12)</f>
        <v/>
      </c>
      <c r="H153" s="6">
        <f>IF(E153="","",E153/12*(1+Parametros!$B$9))</f>
        <v/>
      </c>
      <c r="I153" s="6">
        <f>IF(G153="","",G153*(Parametros!$B$7+Parametros!$B$8))</f>
        <v/>
      </c>
      <c r="J153" s="6">
        <f>IF(H153="","",H153*(Parametros!$B$7+Parametros!$B$8))</f>
        <v/>
      </c>
      <c r="K153" s="6">
        <f>IF(E153="","",E153*Parametros!$B$6*(Parametros!$B$4+Parametros!$B$5))</f>
        <v/>
      </c>
      <c r="L153" s="6">
        <f>IF(E153="","",SUM(G153:K153))</f>
        <v/>
      </c>
    </row>
    <row r="154">
      <c r="E154" s="8" t="n"/>
      <c r="G154" s="6">
        <f>IF(E154="","",E154/12)</f>
        <v/>
      </c>
      <c r="H154" s="6">
        <f>IF(E154="","",E154/12*(1+Parametros!$B$9))</f>
        <v/>
      </c>
      <c r="I154" s="6">
        <f>IF(G154="","",G154*(Parametros!$B$7+Parametros!$B$8))</f>
        <v/>
      </c>
      <c r="J154" s="6">
        <f>IF(H154="","",H154*(Parametros!$B$7+Parametros!$B$8))</f>
        <v/>
      </c>
      <c r="K154" s="6">
        <f>IF(E154="","",E154*Parametros!$B$6*(Parametros!$B$4+Parametros!$B$5))</f>
        <v/>
      </c>
      <c r="L154" s="6">
        <f>IF(E154="","",SUM(G154:K154))</f>
        <v/>
      </c>
    </row>
    <row r="155">
      <c r="E155" s="8" t="n"/>
      <c r="G155" s="6">
        <f>IF(E155="","",E155/12)</f>
        <v/>
      </c>
      <c r="H155" s="6">
        <f>IF(E155="","",E155/12*(1+Parametros!$B$9))</f>
        <v/>
      </c>
      <c r="I155" s="6">
        <f>IF(G155="","",G155*(Parametros!$B$7+Parametros!$B$8))</f>
        <v/>
      </c>
      <c r="J155" s="6">
        <f>IF(H155="","",H155*(Parametros!$B$7+Parametros!$B$8))</f>
        <v/>
      </c>
      <c r="K155" s="6">
        <f>IF(E155="","",E155*Parametros!$B$6*(Parametros!$B$4+Parametros!$B$5))</f>
        <v/>
      </c>
      <c r="L155" s="6">
        <f>IF(E155="","",SUM(G155:K155))</f>
        <v/>
      </c>
    </row>
    <row r="156">
      <c r="E156" s="8" t="n"/>
      <c r="G156" s="6">
        <f>IF(E156="","",E156/12)</f>
        <v/>
      </c>
      <c r="H156" s="6">
        <f>IF(E156="","",E156/12*(1+Parametros!$B$9))</f>
        <v/>
      </c>
      <c r="I156" s="6">
        <f>IF(G156="","",G156*(Parametros!$B$7+Parametros!$B$8))</f>
        <v/>
      </c>
      <c r="J156" s="6">
        <f>IF(H156="","",H156*(Parametros!$B$7+Parametros!$B$8))</f>
        <v/>
      </c>
      <c r="K156" s="6">
        <f>IF(E156="","",E156*Parametros!$B$6*(Parametros!$B$4+Parametros!$B$5))</f>
        <v/>
      </c>
      <c r="L156" s="6">
        <f>IF(E156="","",SUM(G156:K156))</f>
        <v/>
      </c>
    </row>
    <row r="157">
      <c r="E157" s="8" t="n"/>
      <c r="G157" s="6">
        <f>IF(E157="","",E157/12)</f>
        <v/>
      </c>
      <c r="H157" s="6">
        <f>IF(E157="","",E157/12*(1+Parametros!$B$9))</f>
        <v/>
      </c>
      <c r="I157" s="6">
        <f>IF(G157="","",G157*(Parametros!$B$7+Parametros!$B$8))</f>
        <v/>
      </c>
      <c r="J157" s="6">
        <f>IF(H157="","",H157*(Parametros!$B$7+Parametros!$B$8))</f>
        <v/>
      </c>
      <c r="K157" s="6">
        <f>IF(E157="","",E157*Parametros!$B$6*(Parametros!$B$4+Parametros!$B$5))</f>
        <v/>
      </c>
      <c r="L157" s="6">
        <f>IF(E157="","",SUM(G157:K157))</f>
        <v/>
      </c>
    </row>
    <row r="158">
      <c r="E158" s="8" t="n"/>
      <c r="G158" s="6">
        <f>IF(E158="","",E158/12)</f>
        <v/>
      </c>
      <c r="H158" s="6">
        <f>IF(E158="","",E158/12*(1+Parametros!$B$9))</f>
        <v/>
      </c>
      <c r="I158" s="6">
        <f>IF(G158="","",G158*(Parametros!$B$7+Parametros!$B$8))</f>
        <v/>
      </c>
      <c r="J158" s="6">
        <f>IF(H158="","",H158*(Parametros!$B$7+Parametros!$B$8))</f>
        <v/>
      </c>
      <c r="K158" s="6">
        <f>IF(E158="","",E158*Parametros!$B$6*(Parametros!$B$4+Parametros!$B$5))</f>
        <v/>
      </c>
      <c r="L158" s="6">
        <f>IF(E158="","",SUM(G158:K158))</f>
        <v/>
      </c>
    </row>
    <row r="159">
      <c r="E159" s="8" t="n"/>
      <c r="G159" s="6">
        <f>IF(E159="","",E159/12)</f>
        <v/>
      </c>
      <c r="H159" s="6">
        <f>IF(E159="","",E159/12*(1+Parametros!$B$9))</f>
        <v/>
      </c>
      <c r="I159" s="6">
        <f>IF(G159="","",G159*(Parametros!$B$7+Parametros!$B$8))</f>
        <v/>
      </c>
      <c r="J159" s="6">
        <f>IF(H159="","",H159*(Parametros!$B$7+Parametros!$B$8))</f>
        <v/>
      </c>
      <c r="K159" s="6">
        <f>IF(E159="","",E159*Parametros!$B$6*(Parametros!$B$4+Parametros!$B$5))</f>
        <v/>
      </c>
      <c r="L159" s="6">
        <f>IF(E159="","",SUM(G159:K159))</f>
        <v/>
      </c>
    </row>
    <row r="160">
      <c r="E160" s="8" t="n"/>
      <c r="G160" s="6">
        <f>IF(E160="","",E160/12)</f>
        <v/>
      </c>
      <c r="H160" s="6">
        <f>IF(E160="","",E160/12*(1+Parametros!$B$9))</f>
        <v/>
      </c>
      <c r="I160" s="6">
        <f>IF(G160="","",G160*(Parametros!$B$7+Parametros!$B$8))</f>
        <v/>
      </c>
      <c r="J160" s="6">
        <f>IF(H160="","",H160*(Parametros!$B$7+Parametros!$B$8))</f>
        <v/>
      </c>
      <c r="K160" s="6">
        <f>IF(E160="","",E160*Parametros!$B$6*(Parametros!$B$4+Parametros!$B$5))</f>
        <v/>
      </c>
      <c r="L160" s="6">
        <f>IF(E160="","",SUM(G160:K160))</f>
        <v/>
      </c>
    </row>
    <row r="161">
      <c r="E161" s="8" t="n"/>
      <c r="G161" s="6">
        <f>IF(E161="","",E161/12)</f>
        <v/>
      </c>
      <c r="H161" s="6">
        <f>IF(E161="","",E161/12*(1+Parametros!$B$9))</f>
        <v/>
      </c>
      <c r="I161" s="6">
        <f>IF(G161="","",G161*(Parametros!$B$7+Parametros!$B$8))</f>
        <v/>
      </c>
      <c r="J161" s="6">
        <f>IF(H161="","",H161*(Parametros!$B$7+Parametros!$B$8))</f>
        <v/>
      </c>
      <c r="K161" s="6">
        <f>IF(E161="","",E161*Parametros!$B$6*(Parametros!$B$4+Parametros!$B$5))</f>
        <v/>
      </c>
      <c r="L161" s="6">
        <f>IF(E161="","",SUM(G161:K161))</f>
        <v/>
      </c>
    </row>
    <row r="162">
      <c r="E162" s="8" t="n"/>
      <c r="G162" s="6">
        <f>IF(E162="","",E162/12)</f>
        <v/>
      </c>
      <c r="H162" s="6">
        <f>IF(E162="","",E162/12*(1+Parametros!$B$9))</f>
        <v/>
      </c>
      <c r="I162" s="6">
        <f>IF(G162="","",G162*(Parametros!$B$7+Parametros!$B$8))</f>
        <v/>
      </c>
      <c r="J162" s="6">
        <f>IF(H162="","",H162*(Parametros!$B$7+Parametros!$B$8))</f>
        <v/>
      </c>
      <c r="K162" s="6">
        <f>IF(E162="","",E162*Parametros!$B$6*(Parametros!$B$4+Parametros!$B$5))</f>
        <v/>
      </c>
      <c r="L162" s="6">
        <f>IF(E162="","",SUM(G162:K162))</f>
        <v/>
      </c>
    </row>
    <row r="163">
      <c r="E163" s="8" t="n"/>
      <c r="G163" s="6">
        <f>IF(E163="","",E163/12)</f>
        <v/>
      </c>
      <c r="H163" s="6">
        <f>IF(E163="","",E163/12*(1+Parametros!$B$9))</f>
        <v/>
      </c>
      <c r="I163" s="6">
        <f>IF(G163="","",G163*(Parametros!$B$7+Parametros!$B$8))</f>
        <v/>
      </c>
      <c r="J163" s="6">
        <f>IF(H163="","",H163*(Parametros!$B$7+Parametros!$B$8))</f>
        <v/>
      </c>
      <c r="K163" s="6">
        <f>IF(E163="","",E163*Parametros!$B$6*(Parametros!$B$4+Parametros!$B$5))</f>
        <v/>
      </c>
      <c r="L163" s="6">
        <f>IF(E163="","",SUM(G163:K163))</f>
        <v/>
      </c>
    </row>
    <row r="164">
      <c r="E164" s="8" t="n"/>
      <c r="G164" s="6">
        <f>IF(E164="","",E164/12)</f>
        <v/>
      </c>
      <c r="H164" s="6">
        <f>IF(E164="","",E164/12*(1+Parametros!$B$9))</f>
        <v/>
      </c>
      <c r="I164" s="6">
        <f>IF(G164="","",G164*(Parametros!$B$7+Parametros!$B$8))</f>
        <v/>
      </c>
      <c r="J164" s="6">
        <f>IF(H164="","",H164*(Parametros!$B$7+Parametros!$B$8))</f>
        <v/>
      </c>
      <c r="K164" s="6">
        <f>IF(E164="","",E164*Parametros!$B$6*(Parametros!$B$4+Parametros!$B$5))</f>
        <v/>
      </c>
      <c r="L164" s="6">
        <f>IF(E164="","",SUM(G164:K164))</f>
        <v/>
      </c>
    </row>
    <row r="165">
      <c r="E165" s="8" t="n"/>
      <c r="G165" s="6">
        <f>IF(E165="","",E165/12)</f>
        <v/>
      </c>
      <c r="H165" s="6">
        <f>IF(E165="","",E165/12*(1+Parametros!$B$9))</f>
        <v/>
      </c>
      <c r="I165" s="6">
        <f>IF(G165="","",G165*(Parametros!$B$7+Parametros!$B$8))</f>
        <v/>
      </c>
      <c r="J165" s="6">
        <f>IF(H165="","",H165*(Parametros!$B$7+Parametros!$B$8))</f>
        <v/>
      </c>
      <c r="K165" s="6">
        <f>IF(E165="","",E165*Parametros!$B$6*(Parametros!$B$4+Parametros!$B$5))</f>
        <v/>
      </c>
      <c r="L165" s="6">
        <f>IF(E165="","",SUM(G165:K165))</f>
        <v/>
      </c>
    </row>
    <row r="166">
      <c r="E166" s="8" t="n"/>
      <c r="G166" s="6">
        <f>IF(E166="","",E166/12)</f>
        <v/>
      </c>
      <c r="H166" s="6">
        <f>IF(E166="","",E166/12*(1+Parametros!$B$9))</f>
        <v/>
      </c>
      <c r="I166" s="6">
        <f>IF(G166="","",G166*(Parametros!$B$7+Parametros!$B$8))</f>
        <v/>
      </c>
      <c r="J166" s="6">
        <f>IF(H166="","",H166*(Parametros!$B$7+Parametros!$B$8))</f>
        <v/>
      </c>
      <c r="K166" s="6">
        <f>IF(E166="","",E166*Parametros!$B$6*(Parametros!$B$4+Parametros!$B$5))</f>
        <v/>
      </c>
      <c r="L166" s="6">
        <f>IF(E166="","",SUM(G166:K166))</f>
        <v/>
      </c>
    </row>
    <row r="167">
      <c r="E167" s="8" t="n"/>
      <c r="G167" s="6">
        <f>IF(E167="","",E167/12)</f>
        <v/>
      </c>
      <c r="H167" s="6">
        <f>IF(E167="","",E167/12*(1+Parametros!$B$9))</f>
        <v/>
      </c>
      <c r="I167" s="6">
        <f>IF(G167="","",G167*(Parametros!$B$7+Parametros!$B$8))</f>
        <v/>
      </c>
      <c r="J167" s="6">
        <f>IF(H167="","",H167*(Parametros!$B$7+Parametros!$B$8))</f>
        <v/>
      </c>
      <c r="K167" s="6">
        <f>IF(E167="","",E167*Parametros!$B$6*(Parametros!$B$4+Parametros!$B$5))</f>
        <v/>
      </c>
      <c r="L167" s="6">
        <f>IF(E167="","",SUM(G167:K167))</f>
        <v/>
      </c>
    </row>
    <row r="168">
      <c r="E168" s="8" t="n"/>
      <c r="G168" s="6">
        <f>IF(E168="","",E168/12)</f>
        <v/>
      </c>
      <c r="H168" s="6">
        <f>IF(E168="","",E168/12*(1+Parametros!$B$9))</f>
        <v/>
      </c>
      <c r="I168" s="6">
        <f>IF(G168="","",G168*(Parametros!$B$7+Parametros!$B$8))</f>
        <v/>
      </c>
      <c r="J168" s="6">
        <f>IF(H168="","",H168*(Parametros!$B$7+Parametros!$B$8))</f>
        <v/>
      </c>
      <c r="K168" s="6">
        <f>IF(E168="","",E168*Parametros!$B$6*(Parametros!$B$4+Parametros!$B$5))</f>
        <v/>
      </c>
      <c r="L168" s="6">
        <f>IF(E168="","",SUM(G168:K168))</f>
        <v/>
      </c>
    </row>
    <row r="169">
      <c r="E169" s="8" t="n"/>
      <c r="G169" s="6">
        <f>IF(E169="","",E169/12)</f>
        <v/>
      </c>
      <c r="H169" s="6">
        <f>IF(E169="","",E169/12*(1+Parametros!$B$9))</f>
        <v/>
      </c>
      <c r="I169" s="6">
        <f>IF(G169="","",G169*(Parametros!$B$7+Parametros!$B$8))</f>
        <v/>
      </c>
      <c r="J169" s="6">
        <f>IF(H169="","",H169*(Parametros!$B$7+Parametros!$B$8))</f>
        <v/>
      </c>
      <c r="K169" s="6">
        <f>IF(E169="","",E169*Parametros!$B$6*(Parametros!$B$4+Parametros!$B$5))</f>
        <v/>
      </c>
      <c r="L169" s="6">
        <f>IF(E169="","",SUM(G169:K169))</f>
        <v/>
      </c>
    </row>
    <row r="170">
      <c r="E170" s="8" t="n"/>
      <c r="G170" s="6">
        <f>IF(E170="","",E170/12)</f>
        <v/>
      </c>
      <c r="H170" s="6">
        <f>IF(E170="","",E170/12*(1+Parametros!$B$9))</f>
        <v/>
      </c>
      <c r="I170" s="6">
        <f>IF(G170="","",G170*(Parametros!$B$7+Parametros!$B$8))</f>
        <v/>
      </c>
      <c r="J170" s="6">
        <f>IF(H170="","",H170*(Parametros!$B$7+Parametros!$B$8))</f>
        <v/>
      </c>
      <c r="K170" s="6">
        <f>IF(E170="","",E170*Parametros!$B$6*(Parametros!$B$4+Parametros!$B$5))</f>
        <v/>
      </c>
      <c r="L170" s="6">
        <f>IF(E170="","",SUM(G170:K170))</f>
        <v/>
      </c>
    </row>
    <row r="171">
      <c r="E171" s="8" t="n"/>
      <c r="G171" s="6">
        <f>IF(E171="","",E171/12)</f>
        <v/>
      </c>
      <c r="H171" s="6">
        <f>IF(E171="","",E171/12*(1+Parametros!$B$9))</f>
        <v/>
      </c>
      <c r="I171" s="6">
        <f>IF(G171="","",G171*(Parametros!$B$7+Parametros!$B$8))</f>
        <v/>
      </c>
      <c r="J171" s="6">
        <f>IF(H171="","",H171*(Parametros!$B$7+Parametros!$B$8))</f>
        <v/>
      </c>
      <c r="K171" s="6">
        <f>IF(E171="","",E171*Parametros!$B$6*(Parametros!$B$4+Parametros!$B$5))</f>
        <v/>
      </c>
      <c r="L171" s="6">
        <f>IF(E171="","",SUM(G171:K171))</f>
        <v/>
      </c>
    </row>
    <row r="172">
      <c r="E172" s="8" t="n"/>
      <c r="G172" s="6">
        <f>IF(E172="","",E172/12)</f>
        <v/>
      </c>
      <c r="H172" s="6">
        <f>IF(E172="","",E172/12*(1+Parametros!$B$9))</f>
        <v/>
      </c>
      <c r="I172" s="6">
        <f>IF(G172="","",G172*(Parametros!$B$7+Parametros!$B$8))</f>
        <v/>
      </c>
      <c r="J172" s="6">
        <f>IF(H172="","",H172*(Parametros!$B$7+Parametros!$B$8))</f>
        <v/>
      </c>
      <c r="K172" s="6">
        <f>IF(E172="","",E172*Parametros!$B$6*(Parametros!$B$4+Parametros!$B$5))</f>
        <v/>
      </c>
      <c r="L172" s="6">
        <f>IF(E172="","",SUM(G172:K172))</f>
        <v/>
      </c>
    </row>
    <row r="173">
      <c r="E173" s="8" t="n"/>
      <c r="G173" s="6">
        <f>IF(E173="","",E173/12)</f>
        <v/>
      </c>
      <c r="H173" s="6">
        <f>IF(E173="","",E173/12*(1+Parametros!$B$9))</f>
        <v/>
      </c>
      <c r="I173" s="6">
        <f>IF(G173="","",G173*(Parametros!$B$7+Parametros!$B$8))</f>
        <v/>
      </c>
      <c r="J173" s="6">
        <f>IF(H173="","",H173*(Parametros!$B$7+Parametros!$B$8))</f>
        <v/>
      </c>
      <c r="K173" s="6">
        <f>IF(E173="","",E173*Parametros!$B$6*(Parametros!$B$4+Parametros!$B$5))</f>
        <v/>
      </c>
      <c r="L173" s="6">
        <f>IF(E173="","",SUM(G173:K173))</f>
        <v/>
      </c>
    </row>
    <row r="174">
      <c r="E174" s="8" t="n"/>
      <c r="G174" s="6">
        <f>IF(E174="","",E174/12)</f>
        <v/>
      </c>
      <c r="H174" s="6">
        <f>IF(E174="","",E174/12*(1+Parametros!$B$9))</f>
        <v/>
      </c>
      <c r="I174" s="6">
        <f>IF(G174="","",G174*(Parametros!$B$7+Parametros!$B$8))</f>
        <v/>
      </c>
      <c r="J174" s="6">
        <f>IF(H174="","",H174*(Parametros!$B$7+Parametros!$B$8))</f>
        <v/>
      </c>
      <c r="K174" s="6">
        <f>IF(E174="","",E174*Parametros!$B$6*(Parametros!$B$4+Parametros!$B$5))</f>
        <v/>
      </c>
      <c r="L174" s="6">
        <f>IF(E174="","",SUM(G174:K174))</f>
        <v/>
      </c>
    </row>
    <row r="175">
      <c r="E175" s="8" t="n"/>
      <c r="G175" s="6">
        <f>IF(E175="","",E175/12)</f>
        <v/>
      </c>
      <c r="H175" s="6">
        <f>IF(E175="","",E175/12*(1+Parametros!$B$9))</f>
        <v/>
      </c>
      <c r="I175" s="6">
        <f>IF(G175="","",G175*(Parametros!$B$7+Parametros!$B$8))</f>
        <v/>
      </c>
      <c r="J175" s="6">
        <f>IF(H175="","",H175*(Parametros!$B$7+Parametros!$B$8))</f>
        <v/>
      </c>
      <c r="K175" s="6">
        <f>IF(E175="","",E175*Parametros!$B$6*(Parametros!$B$4+Parametros!$B$5))</f>
        <v/>
      </c>
      <c r="L175" s="6">
        <f>IF(E175="","",SUM(G175:K175))</f>
        <v/>
      </c>
    </row>
    <row r="176">
      <c r="E176" s="8" t="n"/>
      <c r="G176" s="6">
        <f>IF(E176="","",E176/12)</f>
        <v/>
      </c>
      <c r="H176" s="6">
        <f>IF(E176="","",E176/12*(1+Parametros!$B$9))</f>
        <v/>
      </c>
      <c r="I176" s="6">
        <f>IF(G176="","",G176*(Parametros!$B$7+Parametros!$B$8))</f>
        <v/>
      </c>
      <c r="J176" s="6">
        <f>IF(H176="","",H176*(Parametros!$B$7+Parametros!$B$8))</f>
        <v/>
      </c>
      <c r="K176" s="6">
        <f>IF(E176="","",E176*Parametros!$B$6*(Parametros!$B$4+Parametros!$B$5))</f>
        <v/>
      </c>
      <c r="L176" s="6">
        <f>IF(E176="","",SUM(G176:K176))</f>
        <v/>
      </c>
    </row>
    <row r="177">
      <c r="E177" s="8" t="n"/>
      <c r="G177" s="6">
        <f>IF(E177="","",E177/12)</f>
        <v/>
      </c>
      <c r="H177" s="6">
        <f>IF(E177="","",E177/12*(1+Parametros!$B$9))</f>
        <v/>
      </c>
      <c r="I177" s="6">
        <f>IF(G177="","",G177*(Parametros!$B$7+Parametros!$B$8))</f>
        <v/>
      </c>
      <c r="J177" s="6">
        <f>IF(H177="","",H177*(Parametros!$B$7+Parametros!$B$8))</f>
        <v/>
      </c>
      <c r="K177" s="6">
        <f>IF(E177="","",E177*Parametros!$B$6*(Parametros!$B$4+Parametros!$B$5))</f>
        <v/>
      </c>
      <c r="L177" s="6">
        <f>IF(E177="","",SUM(G177:K177))</f>
        <v/>
      </c>
    </row>
    <row r="178">
      <c r="E178" s="8" t="n"/>
      <c r="G178" s="6">
        <f>IF(E178="","",E178/12)</f>
        <v/>
      </c>
      <c r="H178" s="6">
        <f>IF(E178="","",E178/12*(1+Parametros!$B$9))</f>
        <v/>
      </c>
      <c r="I178" s="6">
        <f>IF(G178="","",G178*(Parametros!$B$7+Parametros!$B$8))</f>
        <v/>
      </c>
      <c r="J178" s="6">
        <f>IF(H178="","",H178*(Parametros!$B$7+Parametros!$B$8))</f>
        <v/>
      </c>
      <c r="K178" s="6">
        <f>IF(E178="","",E178*Parametros!$B$6*(Parametros!$B$4+Parametros!$B$5))</f>
        <v/>
      </c>
      <c r="L178" s="6">
        <f>IF(E178="","",SUM(G178:K178))</f>
        <v/>
      </c>
    </row>
    <row r="179">
      <c r="E179" s="8" t="n"/>
      <c r="G179" s="6">
        <f>IF(E179="","",E179/12)</f>
        <v/>
      </c>
      <c r="H179" s="6">
        <f>IF(E179="","",E179/12*(1+Parametros!$B$9))</f>
        <v/>
      </c>
      <c r="I179" s="6">
        <f>IF(G179="","",G179*(Parametros!$B$7+Parametros!$B$8))</f>
        <v/>
      </c>
      <c r="J179" s="6">
        <f>IF(H179="","",H179*(Parametros!$B$7+Parametros!$B$8))</f>
        <v/>
      </c>
      <c r="K179" s="6">
        <f>IF(E179="","",E179*Parametros!$B$6*(Parametros!$B$4+Parametros!$B$5))</f>
        <v/>
      </c>
      <c r="L179" s="6">
        <f>IF(E179="","",SUM(G179:K179))</f>
        <v/>
      </c>
    </row>
    <row r="180">
      <c r="E180" s="8" t="n"/>
      <c r="G180" s="6">
        <f>IF(E180="","",E180/12)</f>
        <v/>
      </c>
      <c r="H180" s="6">
        <f>IF(E180="","",E180/12*(1+Parametros!$B$9))</f>
        <v/>
      </c>
      <c r="I180" s="6">
        <f>IF(G180="","",G180*(Parametros!$B$7+Parametros!$B$8))</f>
        <v/>
      </c>
      <c r="J180" s="6">
        <f>IF(H180="","",H180*(Parametros!$B$7+Parametros!$B$8))</f>
        <v/>
      </c>
      <c r="K180" s="6">
        <f>IF(E180="","",E180*Parametros!$B$6*(Parametros!$B$4+Parametros!$B$5))</f>
        <v/>
      </c>
      <c r="L180" s="6">
        <f>IF(E180="","",SUM(G180:K180))</f>
        <v/>
      </c>
    </row>
    <row r="181">
      <c r="E181" s="8" t="n"/>
      <c r="G181" s="6">
        <f>IF(E181="","",E181/12)</f>
        <v/>
      </c>
      <c r="H181" s="6">
        <f>IF(E181="","",E181/12*(1+Parametros!$B$9))</f>
        <v/>
      </c>
      <c r="I181" s="6">
        <f>IF(G181="","",G181*(Parametros!$B$7+Parametros!$B$8))</f>
        <v/>
      </c>
      <c r="J181" s="6">
        <f>IF(H181="","",H181*(Parametros!$B$7+Parametros!$B$8))</f>
        <v/>
      </c>
      <c r="K181" s="6">
        <f>IF(E181="","",E181*Parametros!$B$6*(Parametros!$B$4+Parametros!$B$5))</f>
        <v/>
      </c>
      <c r="L181" s="6">
        <f>IF(E181="","",SUM(G181:K181))</f>
        <v/>
      </c>
    </row>
    <row r="182">
      <c r="E182" s="8" t="n"/>
      <c r="G182" s="6">
        <f>IF(E182="","",E182/12)</f>
        <v/>
      </c>
      <c r="H182" s="6">
        <f>IF(E182="","",E182/12*(1+Parametros!$B$9))</f>
        <v/>
      </c>
      <c r="I182" s="6">
        <f>IF(G182="","",G182*(Parametros!$B$7+Parametros!$B$8))</f>
        <v/>
      </c>
      <c r="J182" s="6">
        <f>IF(H182="","",H182*(Parametros!$B$7+Parametros!$B$8))</f>
        <v/>
      </c>
      <c r="K182" s="6">
        <f>IF(E182="","",E182*Parametros!$B$6*(Parametros!$B$4+Parametros!$B$5))</f>
        <v/>
      </c>
      <c r="L182" s="6">
        <f>IF(E182="","",SUM(G182:K182))</f>
        <v/>
      </c>
    </row>
    <row r="183">
      <c r="E183" s="8" t="n"/>
      <c r="G183" s="6">
        <f>IF(E183="","",E183/12)</f>
        <v/>
      </c>
      <c r="H183" s="6">
        <f>IF(E183="","",E183/12*(1+Parametros!$B$9))</f>
        <v/>
      </c>
      <c r="I183" s="6">
        <f>IF(G183="","",G183*(Parametros!$B$7+Parametros!$B$8))</f>
        <v/>
      </c>
      <c r="J183" s="6">
        <f>IF(H183="","",H183*(Parametros!$B$7+Parametros!$B$8))</f>
        <v/>
      </c>
      <c r="K183" s="6">
        <f>IF(E183="","",E183*Parametros!$B$6*(Parametros!$B$4+Parametros!$B$5))</f>
        <v/>
      </c>
      <c r="L183" s="6">
        <f>IF(E183="","",SUM(G183:K183))</f>
        <v/>
      </c>
    </row>
    <row r="184">
      <c r="E184" s="8" t="n"/>
      <c r="G184" s="6">
        <f>IF(E184="","",E184/12)</f>
        <v/>
      </c>
      <c r="H184" s="6">
        <f>IF(E184="","",E184/12*(1+Parametros!$B$9))</f>
        <v/>
      </c>
      <c r="I184" s="6">
        <f>IF(G184="","",G184*(Parametros!$B$7+Parametros!$B$8))</f>
        <v/>
      </c>
      <c r="J184" s="6">
        <f>IF(H184="","",H184*(Parametros!$B$7+Parametros!$B$8))</f>
        <v/>
      </c>
      <c r="K184" s="6">
        <f>IF(E184="","",E184*Parametros!$B$6*(Parametros!$B$4+Parametros!$B$5))</f>
        <v/>
      </c>
      <c r="L184" s="6">
        <f>IF(E184="","",SUM(G184:K184))</f>
        <v/>
      </c>
    </row>
    <row r="185">
      <c r="E185" s="8" t="n"/>
      <c r="G185" s="6">
        <f>IF(E185="","",E185/12)</f>
        <v/>
      </c>
      <c r="H185" s="6">
        <f>IF(E185="","",E185/12*(1+Parametros!$B$9))</f>
        <v/>
      </c>
      <c r="I185" s="6">
        <f>IF(G185="","",G185*(Parametros!$B$7+Parametros!$B$8))</f>
        <v/>
      </c>
      <c r="J185" s="6">
        <f>IF(H185="","",H185*(Parametros!$B$7+Parametros!$B$8))</f>
        <v/>
      </c>
      <c r="K185" s="6">
        <f>IF(E185="","",E185*Parametros!$B$6*(Parametros!$B$4+Parametros!$B$5))</f>
        <v/>
      </c>
      <c r="L185" s="6">
        <f>IF(E185="","",SUM(G185:K185))</f>
        <v/>
      </c>
    </row>
    <row r="186">
      <c r="E186" s="8" t="n"/>
      <c r="G186" s="6">
        <f>IF(E186="","",E186/12)</f>
        <v/>
      </c>
      <c r="H186" s="6">
        <f>IF(E186="","",E186/12*(1+Parametros!$B$9))</f>
        <v/>
      </c>
      <c r="I186" s="6">
        <f>IF(G186="","",G186*(Parametros!$B$7+Parametros!$B$8))</f>
        <v/>
      </c>
      <c r="J186" s="6">
        <f>IF(H186="","",H186*(Parametros!$B$7+Parametros!$B$8))</f>
        <v/>
      </c>
      <c r="K186" s="6">
        <f>IF(E186="","",E186*Parametros!$B$6*(Parametros!$B$4+Parametros!$B$5))</f>
        <v/>
      </c>
      <c r="L186" s="6">
        <f>IF(E186="","",SUM(G186:K186))</f>
        <v/>
      </c>
    </row>
    <row r="187">
      <c r="E187" s="8" t="n"/>
      <c r="G187" s="6">
        <f>IF(E187="","",E187/12)</f>
        <v/>
      </c>
      <c r="H187" s="6">
        <f>IF(E187="","",E187/12*(1+Parametros!$B$9))</f>
        <v/>
      </c>
      <c r="I187" s="6">
        <f>IF(G187="","",G187*(Parametros!$B$7+Parametros!$B$8))</f>
        <v/>
      </c>
      <c r="J187" s="6">
        <f>IF(H187="","",H187*(Parametros!$B$7+Parametros!$B$8))</f>
        <v/>
      </c>
      <c r="K187" s="6">
        <f>IF(E187="","",E187*Parametros!$B$6*(Parametros!$B$4+Parametros!$B$5))</f>
        <v/>
      </c>
      <c r="L187" s="6">
        <f>IF(E187="","",SUM(G187:K187))</f>
        <v/>
      </c>
    </row>
    <row r="188">
      <c r="E188" s="8" t="n"/>
      <c r="G188" s="6">
        <f>IF(E188="","",E188/12)</f>
        <v/>
      </c>
      <c r="H188" s="6">
        <f>IF(E188="","",E188/12*(1+Parametros!$B$9))</f>
        <v/>
      </c>
      <c r="I188" s="6">
        <f>IF(G188="","",G188*(Parametros!$B$7+Parametros!$B$8))</f>
        <v/>
      </c>
      <c r="J188" s="6">
        <f>IF(H188="","",H188*(Parametros!$B$7+Parametros!$B$8))</f>
        <v/>
      </c>
      <c r="K188" s="6">
        <f>IF(E188="","",E188*Parametros!$B$6*(Parametros!$B$4+Parametros!$B$5))</f>
        <v/>
      </c>
      <c r="L188" s="6">
        <f>IF(E188="","",SUM(G188:K188))</f>
        <v/>
      </c>
    </row>
    <row r="189">
      <c r="E189" s="8" t="n"/>
      <c r="G189" s="6">
        <f>IF(E189="","",E189/12)</f>
        <v/>
      </c>
      <c r="H189" s="6">
        <f>IF(E189="","",E189/12*(1+Parametros!$B$9))</f>
        <v/>
      </c>
      <c r="I189" s="6">
        <f>IF(G189="","",G189*(Parametros!$B$7+Parametros!$B$8))</f>
        <v/>
      </c>
      <c r="J189" s="6">
        <f>IF(H189="","",H189*(Parametros!$B$7+Parametros!$B$8))</f>
        <v/>
      </c>
      <c r="K189" s="6">
        <f>IF(E189="","",E189*Parametros!$B$6*(Parametros!$B$4+Parametros!$B$5))</f>
        <v/>
      </c>
      <c r="L189" s="6">
        <f>IF(E189="","",SUM(G189:K189))</f>
        <v/>
      </c>
    </row>
    <row r="190">
      <c r="E190" s="8" t="n"/>
      <c r="G190" s="6">
        <f>IF(E190="","",E190/12)</f>
        <v/>
      </c>
      <c r="H190" s="6">
        <f>IF(E190="","",E190/12*(1+Parametros!$B$9))</f>
        <v/>
      </c>
      <c r="I190" s="6">
        <f>IF(G190="","",G190*(Parametros!$B$7+Parametros!$B$8))</f>
        <v/>
      </c>
      <c r="J190" s="6">
        <f>IF(H190="","",H190*(Parametros!$B$7+Parametros!$B$8))</f>
        <v/>
      </c>
      <c r="K190" s="6">
        <f>IF(E190="","",E190*Parametros!$B$6*(Parametros!$B$4+Parametros!$B$5))</f>
        <v/>
      </c>
      <c r="L190" s="6">
        <f>IF(E190="","",SUM(G190:K190))</f>
        <v/>
      </c>
    </row>
    <row r="191">
      <c r="E191" s="8" t="n"/>
      <c r="G191" s="6">
        <f>IF(E191="","",E191/12)</f>
        <v/>
      </c>
      <c r="H191" s="6">
        <f>IF(E191="","",E191/12*(1+Parametros!$B$9))</f>
        <v/>
      </c>
      <c r="I191" s="6">
        <f>IF(G191="","",G191*(Parametros!$B$7+Parametros!$B$8))</f>
        <v/>
      </c>
      <c r="J191" s="6">
        <f>IF(H191="","",H191*(Parametros!$B$7+Parametros!$B$8))</f>
        <v/>
      </c>
      <c r="K191" s="6">
        <f>IF(E191="","",E191*Parametros!$B$6*(Parametros!$B$4+Parametros!$B$5))</f>
        <v/>
      </c>
      <c r="L191" s="6">
        <f>IF(E191="","",SUM(G191:K191))</f>
        <v/>
      </c>
    </row>
    <row r="192">
      <c r="E192" s="8" t="n"/>
      <c r="G192" s="6">
        <f>IF(E192="","",E192/12)</f>
        <v/>
      </c>
      <c r="H192" s="6">
        <f>IF(E192="","",E192/12*(1+Parametros!$B$9))</f>
        <v/>
      </c>
      <c r="I192" s="6">
        <f>IF(G192="","",G192*(Parametros!$B$7+Parametros!$B$8))</f>
        <v/>
      </c>
      <c r="J192" s="6">
        <f>IF(H192="","",H192*(Parametros!$B$7+Parametros!$B$8))</f>
        <v/>
      </c>
      <c r="K192" s="6">
        <f>IF(E192="","",E192*Parametros!$B$6*(Parametros!$B$4+Parametros!$B$5))</f>
        <v/>
      </c>
      <c r="L192" s="6">
        <f>IF(E192="","",SUM(G192:K192))</f>
        <v/>
      </c>
    </row>
    <row r="193">
      <c r="E193" s="8" t="n"/>
      <c r="G193" s="6">
        <f>IF(E193="","",E193/12)</f>
        <v/>
      </c>
      <c r="H193" s="6">
        <f>IF(E193="","",E193/12*(1+Parametros!$B$9))</f>
        <v/>
      </c>
      <c r="I193" s="6">
        <f>IF(G193="","",G193*(Parametros!$B$7+Parametros!$B$8))</f>
        <v/>
      </c>
      <c r="J193" s="6">
        <f>IF(H193="","",H193*(Parametros!$B$7+Parametros!$B$8))</f>
        <v/>
      </c>
      <c r="K193" s="6">
        <f>IF(E193="","",E193*Parametros!$B$6*(Parametros!$B$4+Parametros!$B$5))</f>
        <v/>
      </c>
      <c r="L193" s="6">
        <f>IF(E193="","",SUM(G193:K193))</f>
        <v/>
      </c>
    </row>
    <row r="194">
      <c r="E194" s="8" t="n"/>
      <c r="G194" s="6">
        <f>IF(E194="","",E194/12)</f>
        <v/>
      </c>
      <c r="H194" s="6">
        <f>IF(E194="","",E194/12*(1+Parametros!$B$9))</f>
        <v/>
      </c>
      <c r="I194" s="6">
        <f>IF(G194="","",G194*(Parametros!$B$7+Parametros!$B$8))</f>
        <v/>
      </c>
      <c r="J194" s="6">
        <f>IF(H194="","",H194*(Parametros!$B$7+Parametros!$B$8))</f>
        <v/>
      </c>
      <c r="K194" s="6">
        <f>IF(E194="","",E194*Parametros!$B$6*(Parametros!$B$4+Parametros!$B$5))</f>
        <v/>
      </c>
      <c r="L194" s="6">
        <f>IF(E194="","",SUM(G194:K194))</f>
        <v/>
      </c>
    </row>
    <row r="195">
      <c r="E195" s="8" t="n"/>
      <c r="G195" s="6">
        <f>IF(E195="","",E195/12)</f>
        <v/>
      </c>
      <c r="H195" s="6">
        <f>IF(E195="","",E195/12*(1+Parametros!$B$9))</f>
        <v/>
      </c>
      <c r="I195" s="6">
        <f>IF(G195="","",G195*(Parametros!$B$7+Parametros!$B$8))</f>
        <v/>
      </c>
      <c r="J195" s="6">
        <f>IF(H195="","",H195*(Parametros!$B$7+Parametros!$B$8))</f>
        <v/>
      </c>
      <c r="K195" s="6">
        <f>IF(E195="","",E195*Parametros!$B$6*(Parametros!$B$4+Parametros!$B$5))</f>
        <v/>
      </c>
      <c r="L195" s="6">
        <f>IF(E195="","",SUM(G195:K195))</f>
        <v/>
      </c>
    </row>
    <row r="196">
      <c r="E196" s="8" t="n"/>
      <c r="G196" s="6">
        <f>IF(E196="","",E196/12)</f>
        <v/>
      </c>
      <c r="H196" s="6">
        <f>IF(E196="","",E196/12*(1+Parametros!$B$9))</f>
        <v/>
      </c>
      <c r="I196" s="6">
        <f>IF(G196="","",G196*(Parametros!$B$7+Parametros!$B$8))</f>
        <v/>
      </c>
      <c r="J196" s="6">
        <f>IF(H196="","",H196*(Parametros!$B$7+Parametros!$B$8))</f>
        <v/>
      </c>
      <c r="K196" s="6">
        <f>IF(E196="","",E196*Parametros!$B$6*(Parametros!$B$4+Parametros!$B$5))</f>
        <v/>
      </c>
      <c r="L196" s="6">
        <f>IF(E196="","",SUM(G196:K196))</f>
        <v/>
      </c>
    </row>
    <row r="197">
      <c r="E197" s="8" t="n"/>
      <c r="G197" s="6">
        <f>IF(E197="","",E197/12)</f>
        <v/>
      </c>
      <c r="H197" s="6">
        <f>IF(E197="","",E197/12*(1+Parametros!$B$9))</f>
        <v/>
      </c>
      <c r="I197" s="6">
        <f>IF(G197="","",G197*(Parametros!$B$7+Parametros!$B$8))</f>
        <v/>
      </c>
      <c r="J197" s="6">
        <f>IF(H197="","",H197*(Parametros!$B$7+Parametros!$B$8))</f>
        <v/>
      </c>
      <c r="K197" s="6">
        <f>IF(E197="","",E197*Parametros!$B$6*(Parametros!$B$4+Parametros!$B$5))</f>
        <v/>
      </c>
      <c r="L197" s="6">
        <f>IF(E197="","",SUM(G197:K197))</f>
        <v/>
      </c>
    </row>
    <row r="198">
      <c r="E198" s="8" t="n"/>
      <c r="G198" s="6">
        <f>IF(E198="","",E198/12)</f>
        <v/>
      </c>
      <c r="H198" s="6">
        <f>IF(E198="","",E198/12*(1+Parametros!$B$9))</f>
        <v/>
      </c>
      <c r="I198" s="6">
        <f>IF(G198="","",G198*(Parametros!$B$7+Parametros!$B$8))</f>
        <v/>
      </c>
      <c r="J198" s="6">
        <f>IF(H198="","",H198*(Parametros!$B$7+Parametros!$B$8))</f>
        <v/>
      </c>
      <c r="K198" s="6">
        <f>IF(E198="","",E198*Parametros!$B$6*(Parametros!$B$4+Parametros!$B$5))</f>
        <v/>
      </c>
      <c r="L198" s="6">
        <f>IF(E198="","",SUM(G198:K198))</f>
        <v/>
      </c>
    </row>
    <row r="199">
      <c r="E199" s="8" t="n"/>
      <c r="G199" s="6">
        <f>IF(E199="","",E199/12)</f>
        <v/>
      </c>
      <c r="H199" s="6">
        <f>IF(E199="","",E199/12*(1+Parametros!$B$9))</f>
        <v/>
      </c>
      <c r="I199" s="6">
        <f>IF(G199="","",G199*(Parametros!$B$7+Parametros!$B$8))</f>
        <v/>
      </c>
      <c r="J199" s="6">
        <f>IF(H199="","",H199*(Parametros!$B$7+Parametros!$B$8))</f>
        <v/>
      </c>
      <c r="K199" s="6">
        <f>IF(E199="","",E199*Parametros!$B$6*(Parametros!$B$4+Parametros!$B$5))</f>
        <v/>
      </c>
      <c r="L199" s="6">
        <f>IF(E199="","",SUM(G199:K199))</f>
        <v/>
      </c>
    </row>
    <row r="200">
      <c r="E200" s="8" t="n"/>
      <c r="G200" s="6">
        <f>IF(E200="","",E200/12)</f>
        <v/>
      </c>
      <c r="H200" s="6">
        <f>IF(E200="","",E200/12*(1+Parametros!$B$9))</f>
        <v/>
      </c>
      <c r="I200" s="6">
        <f>IF(G200="","",G200*(Parametros!$B$7+Parametros!$B$8))</f>
        <v/>
      </c>
      <c r="J200" s="6">
        <f>IF(H200="","",H200*(Parametros!$B$7+Parametros!$B$8))</f>
        <v/>
      </c>
      <c r="K200" s="6">
        <f>IF(E200="","",E200*Parametros!$B$6*(Parametros!$B$4+Parametros!$B$5))</f>
        <v/>
      </c>
      <c r="L200" s="6">
        <f>IF(E200="","",SUM(G200:K200))</f>
        <v/>
      </c>
    </row>
    <row r="201">
      <c r="E201" s="8" t="n"/>
      <c r="G201" s="6">
        <f>IF(E201="","",E201/12)</f>
        <v/>
      </c>
      <c r="H201" s="6">
        <f>IF(E201="","",E201/12*(1+Parametros!$B$9))</f>
        <v/>
      </c>
      <c r="I201" s="6">
        <f>IF(G201="","",G201*(Parametros!$B$7+Parametros!$B$8))</f>
        <v/>
      </c>
      <c r="J201" s="6">
        <f>IF(H201="","",H201*(Parametros!$B$7+Parametros!$B$8))</f>
        <v/>
      </c>
      <c r="K201" s="6">
        <f>IF(E201="","",E201*Parametros!$B$6*(Parametros!$B$4+Parametros!$B$5))</f>
        <v/>
      </c>
      <c r="L201" s="6">
        <f>IF(E201="","",SUM(G201:K201))</f>
        <v/>
      </c>
    </row>
    <row r="202">
      <c r="E202" s="8" t="n"/>
      <c r="G202" s="6">
        <f>IF(E202="","",E202/12)</f>
        <v/>
      </c>
      <c r="H202" s="6">
        <f>IF(E202="","",E202/12*(1+Parametros!$B$9))</f>
        <v/>
      </c>
      <c r="I202" s="6">
        <f>IF(G202="","",G202*(Parametros!$B$7+Parametros!$B$8))</f>
        <v/>
      </c>
      <c r="J202" s="6">
        <f>IF(H202="","",H202*(Parametros!$B$7+Parametros!$B$8))</f>
        <v/>
      </c>
      <c r="K202" s="6">
        <f>IF(E202="","",E202*Parametros!$B$6*(Parametros!$B$4+Parametros!$B$5))</f>
        <v/>
      </c>
      <c r="L202" s="6">
        <f>IF(E202="","",SUM(G202:K202))</f>
        <v/>
      </c>
    </row>
    <row r="203">
      <c r="E203" s="8" t="n"/>
      <c r="G203" s="6">
        <f>IF(E203="","",E203/12)</f>
        <v/>
      </c>
      <c r="H203" s="6">
        <f>IF(E203="","",E203/12*(1+Parametros!$B$9))</f>
        <v/>
      </c>
      <c r="I203" s="6">
        <f>IF(G203="","",G203*(Parametros!$B$7+Parametros!$B$8))</f>
        <v/>
      </c>
      <c r="J203" s="6">
        <f>IF(H203="","",H203*(Parametros!$B$7+Parametros!$B$8))</f>
        <v/>
      </c>
      <c r="K203" s="6">
        <f>IF(E203="","",E203*Parametros!$B$6*(Parametros!$B$4+Parametros!$B$5))</f>
        <v/>
      </c>
      <c r="L203" s="6">
        <f>IF(E203="","",SUM(G203:K203))</f>
        <v/>
      </c>
    </row>
    <row r="204">
      <c r="E204" s="8" t="n"/>
      <c r="G204" s="6">
        <f>IF(E204="","",E204/12)</f>
        <v/>
      </c>
      <c r="H204" s="6">
        <f>IF(E204="","",E204/12*(1+Parametros!$B$9))</f>
        <v/>
      </c>
      <c r="I204" s="6">
        <f>IF(G204="","",G204*(Parametros!$B$7+Parametros!$B$8))</f>
        <v/>
      </c>
      <c r="J204" s="6">
        <f>IF(H204="","",H204*(Parametros!$B$7+Parametros!$B$8))</f>
        <v/>
      </c>
      <c r="K204" s="6">
        <f>IF(E204="","",E204*Parametros!$B$6*(Parametros!$B$4+Parametros!$B$5))</f>
        <v/>
      </c>
      <c r="L204" s="6">
        <f>IF(E204="","",SUM(G204:K204))</f>
        <v/>
      </c>
    </row>
    <row r="205">
      <c r="E205" s="8" t="n"/>
      <c r="G205" s="6">
        <f>IF(E205="","",E205/12)</f>
        <v/>
      </c>
      <c r="H205" s="6">
        <f>IF(E205="","",E205/12*(1+Parametros!$B$9))</f>
        <v/>
      </c>
      <c r="I205" s="6">
        <f>IF(G205="","",G205*(Parametros!$B$7+Parametros!$B$8))</f>
        <v/>
      </c>
      <c r="J205" s="6">
        <f>IF(H205="","",H205*(Parametros!$B$7+Parametros!$B$8))</f>
        <v/>
      </c>
      <c r="K205" s="6">
        <f>IF(E205="","",E205*Parametros!$B$6*(Parametros!$B$4+Parametros!$B$5))</f>
        <v/>
      </c>
      <c r="L205" s="6">
        <f>IF(E205="","",SUM(G205:K205))</f>
        <v/>
      </c>
    </row>
    <row r="206">
      <c r="E206" s="8" t="n"/>
      <c r="G206" s="6">
        <f>IF(E206="","",E206/12)</f>
        <v/>
      </c>
      <c r="H206" s="6">
        <f>IF(E206="","",E206/12*(1+Parametros!$B$9))</f>
        <v/>
      </c>
      <c r="I206" s="6">
        <f>IF(G206="","",G206*(Parametros!$B$7+Parametros!$B$8))</f>
        <v/>
      </c>
      <c r="J206" s="6">
        <f>IF(H206="","",H206*(Parametros!$B$7+Parametros!$B$8))</f>
        <v/>
      </c>
      <c r="K206" s="6">
        <f>IF(E206="","",E206*Parametros!$B$6*(Parametros!$B$4+Parametros!$B$5))</f>
        <v/>
      </c>
      <c r="L206" s="6">
        <f>IF(E206="","",SUM(G206:K206))</f>
        <v/>
      </c>
    </row>
    <row r="207">
      <c r="E207" s="8" t="n"/>
      <c r="G207" s="6">
        <f>IF(E207="","",E207/12)</f>
        <v/>
      </c>
      <c r="H207" s="6">
        <f>IF(E207="","",E207/12*(1+Parametros!$B$9))</f>
        <v/>
      </c>
      <c r="I207" s="6">
        <f>IF(G207="","",G207*(Parametros!$B$7+Parametros!$B$8))</f>
        <v/>
      </c>
      <c r="J207" s="6">
        <f>IF(H207="","",H207*(Parametros!$B$7+Parametros!$B$8))</f>
        <v/>
      </c>
      <c r="K207" s="6">
        <f>IF(E207="","",E207*Parametros!$B$6*(Parametros!$B$4+Parametros!$B$5))</f>
        <v/>
      </c>
      <c r="L207" s="6">
        <f>IF(E207="","",SUM(G207:K207))</f>
        <v/>
      </c>
    </row>
    <row r="208">
      <c r="E208" s="8" t="n"/>
      <c r="G208" s="6">
        <f>IF(E208="","",E208/12)</f>
        <v/>
      </c>
      <c r="H208" s="6">
        <f>IF(E208="","",E208/12*(1+Parametros!$B$9))</f>
        <v/>
      </c>
      <c r="I208" s="6">
        <f>IF(G208="","",G208*(Parametros!$B$7+Parametros!$B$8))</f>
        <v/>
      </c>
      <c r="J208" s="6">
        <f>IF(H208="","",H208*(Parametros!$B$7+Parametros!$B$8))</f>
        <v/>
      </c>
      <c r="K208" s="6">
        <f>IF(E208="","",E208*Parametros!$B$6*(Parametros!$B$4+Parametros!$B$5))</f>
        <v/>
      </c>
      <c r="L208" s="6">
        <f>IF(E208="","",SUM(G208:K208))</f>
        <v/>
      </c>
    </row>
    <row r="209">
      <c r="E209" s="8" t="n"/>
      <c r="G209" s="6">
        <f>IF(E209="","",E209/12)</f>
        <v/>
      </c>
      <c r="H209" s="6">
        <f>IF(E209="","",E209/12*(1+Parametros!$B$9))</f>
        <v/>
      </c>
      <c r="I209" s="6">
        <f>IF(G209="","",G209*(Parametros!$B$7+Parametros!$B$8))</f>
        <v/>
      </c>
      <c r="J209" s="6">
        <f>IF(H209="","",H209*(Parametros!$B$7+Parametros!$B$8))</f>
        <v/>
      </c>
      <c r="K209" s="6">
        <f>IF(E209="","",E209*Parametros!$B$6*(Parametros!$B$4+Parametros!$B$5))</f>
        <v/>
      </c>
      <c r="L209" s="6">
        <f>IF(E209="","",SUM(G209:K209))</f>
        <v/>
      </c>
    </row>
    <row r="210">
      <c r="E210" s="8" t="n"/>
      <c r="G210" s="6">
        <f>IF(E210="","",E210/12)</f>
        <v/>
      </c>
      <c r="H210" s="6">
        <f>IF(E210="","",E210/12*(1+Parametros!$B$9))</f>
        <v/>
      </c>
      <c r="I210" s="6">
        <f>IF(G210="","",G210*(Parametros!$B$7+Parametros!$B$8))</f>
        <v/>
      </c>
      <c r="J210" s="6">
        <f>IF(H210="","",H210*(Parametros!$B$7+Parametros!$B$8))</f>
        <v/>
      </c>
      <c r="K210" s="6">
        <f>IF(E210="","",E210*Parametros!$B$6*(Parametros!$B$4+Parametros!$B$5))</f>
        <v/>
      </c>
      <c r="L210" s="6">
        <f>IF(E210="","",SUM(G210:K210))</f>
        <v/>
      </c>
    </row>
    <row r="211">
      <c r="E211" s="8" t="n"/>
      <c r="G211" s="6">
        <f>IF(E211="","",E211/12)</f>
        <v/>
      </c>
      <c r="H211" s="6">
        <f>IF(E211="","",E211/12*(1+Parametros!$B$9))</f>
        <v/>
      </c>
      <c r="I211" s="6">
        <f>IF(G211="","",G211*(Parametros!$B$7+Parametros!$B$8))</f>
        <v/>
      </c>
      <c r="J211" s="6">
        <f>IF(H211="","",H211*(Parametros!$B$7+Parametros!$B$8))</f>
        <v/>
      </c>
      <c r="K211" s="6">
        <f>IF(E211="","",E211*Parametros!$B$6*(Parametros!$B$4+Parametros!$B$5))</f>
        <v/>
      </c>
      <c r="L211" s="6">
        <f>IF(E211="","",SUM(G211:K211))</f>
        <v/>
      </c>
    </row>
    <row r="212">
      <c r="E212" s="8" t="n"/>
      <c r="G212" s="6">
        <f>IF(E212="","",E212/12)</f>
        <v/>
      </c>
      <c r="H212" s="6">
        <f>IF(E212="","",E212/12*(1+Parametros!$B$9))</f>
        <v/>
      </c>
      <c r="I212" s="6">
        <f>IF(G212="","",G212*(Parametros!$B$7+Parametros!$B$8))</f>
        <v/>
      </c>
      <c r="J212" s="6">
        <f>IF(H212="","",H212*(Parametros!$B$7+Parametros!$B$8))</f>
        <v/>
      </c>
      <c r="K212" s="6">
        <f>IF(E212="","",E212*Parametros!$B$6*(Parametros!$B$4+Parametros!$B$5))</f>
        <v/>
      </c>
      <c r="L212" s="6">
        <f>IF(E212="","",SUM(G212:K212))</f>
        <v/>
      </c>
    </row>
    <row r="213">
      <c r="E213" s="8" t="n"/>
      <c r="G213" s="6">
        <f>IF(E213="","",E213/12)</f>
        <v/>
      </c>
      <c r="H213" s="6">
        <f>IF(E213="","",E213/12*(1+Parametros!$B$9))</f>
        <v/>
      </c>
      <c r="I213" s="6">
        <f>IF(G213="","",G213*(Parametros!$B$7+Parametros!$B$8))</f>
        <v/>
      </c>
      <c r="J213" s="6">
        <f>IF(H213="","",H213*(Parametros!$B$7+Parametros!$B$8))</f>
        <v/>
      </c>
      <c r="K213" s="6">
        <f>IF(E213="","",E213*Parametros!$B$6*(Parametros!$B$4+Parametros!$B$5))</f>
        <v/>
      </c>
      <c r="L213" s="6">
        <f>IF(E213="","",SUM(G213:K213))</f>
        <v/>
      </c>
    </row>
    <row r="214">
      <c r="E214" s="8" t="n"/>
      <c r="G214" s="6">
        <f>IF(E214="","",E214/12)</f>
        <v/>
      </c>
      <c r="H214" s="6">
        <f>IF(E214="","",E214/12*(1+Parametros!$B$9))</f>
        <v/>
      </c>
      <c r="I214" s="6">
        <f>IF(G214="","",G214*(Parametros!$B$7+Parametros!$B$8))</f>
        <v/>
      </c>
      <c r="J214" s="6">
        <f>IF(H214="","",H214*(Parametros!$B$7+Parametros!$B$8))</f>
        <v/>
      </c>
      <c r="K214" s="6">
        <f>IF(E214="","",E214*Parametros!$B$6*(Parametros!$B$4+Parametros!$B$5))</f>
        <v/>
      </c>
      <c r="L214" s="6">
        <f>IF(E214="","",SUM(G214:K214))</f>
        <v/>
      </c>
    </row>
    <row r="215">
      <c r="E215" s="8" t="n"/>
      <c r="G215" s="6">
        <f>IF(E215="","",E215/12)</f>
        <v/>
      </c>
      <c r="H215" s="6">
        <f>IF(E215="","",E215/12*(1+Parametros!$B$9))</f>
        <v/>
      </c>
      <c r="I215" s="6">
        <f>IF(G215="","",G215*(Parametros!$B$7+Parametros!$B$8))</f>
        <v/>
      </c>
      <c r="J215" s="6">
        <f>IF(H215="","",H215*(Parametros!$B$7+Parametros!$B$8))</f>
        <v/>
      </c>
      <c r="K215" s="6">
        <f>IF(E215="","",E215*Parametros!$B$6*(Parametros!$B$4+Parametros!$B$5))</f>
        <v/>
      </c>
      <c r="L215" s="6">
        <f>IF(E215="","",SUM(G215:K215))</f>
        <v/>
      </c>
    </row>
    <row r="216">
      <c r="E216" s="8" t="n"/>
      <c r="G216" s="6">
        <f>IF(E216="","",E216/12)</f>
        <v/>
      </c>
      <c r="H216" s="6">
        <f>IF(E216="","",E216/12*(1+Parametros!$B$9))</f>
        <v/>
      </c>
      <c r="I216" s="6">
        <f>IF(G216="","",G216*(Parametros!$B$7+Parametros!$B$8))</f>
        <v/>
      </c>
      <c r="J216" s="6">
        <f>IF(H216="","",H216*(Parametros!$B$7+Parametros!$B$8))</f>
        <v/>
      </c>
      <c r="K216" s="6">
        <f>IF(E216="","",E216*Parametros!$B$6*(Parametros!$B$4+Parametros!$B$5))</f>
        <v/>
      </c>
      <c r="L216" s="6">
        <f>IF(E216="","",SUM(G216:K216))</f>
        <v/>
      </c>
    </row>
    <row r="217">
      <c r="E217" s="8" t="n"/>
      <c r="G217" s="6">
        <f>IF(E217="","",E217/12)</f>
        <v/>
      </c>
      <c r="H217" s="6">
        <f>IF(E217="","",E217/12*(1+Parametros!$B$9))</f>
        <v/>
      </c>
      <c r="I217" s="6">
        <f>IF(G217="","",G217*(Parametros!$B$7+Parametros!$B$8))</f>
        <v/>
      </c>
      <c r="J217" s="6">
        <f>IF(H217="","",H217*(Parametros!$B$7+Parametros!$B$8))</f>
        <v/>
      </c>
      <c r="K217" s="6">
        <f>IF(E217="","",E217*Parametros!$B$6*(Parametros!$B$4+Parametros!$B$5))</f>
        <v/>
      </c>
      <c r="L217" s="6">
        <f>IF(E217="","",SUM(G217:K217))</f>
        <v/>
      </c>
    </row>
    <row r="218">
      <c r="E218" s="8" t="n"/>
      <c r="G218" s="6">
        <f>IF(E218="","",E218/12)</f>
        <v/>
      </c>
      <c r="H218" s="6">
        <f>IF(E218="","",E218/12*(1+Parametros!$B$9))</f>
        <v/>
      </c>
      <c r="I218" s="6">
        <f>IF(G218="","",G218*(Parametros!$B$7+Parametros!$B$8))</f>
        <v/>
      </c>
      <c r="J218" s="6">
        <f>IF(H218="","",H218*(Parametros!$B$7+Parametros!$B$8))</f>
        <v/>
      </c>
      <c r="K218" s="6">
        <f>IF(E218="","",E218*Parametros!$B$6*(Parametros!$B$4+Parametros!$B$5))</f>
        <v/>
      </c>
      <c r="L218" s="6">
        <f>IF(E218="","",SUM(G218:K218))</f>
        <v/>
      </c>
    </row>
    <row r="219">
      <c r="E219" s="8" t="n"/>
      <c r="G219" s="6">
        <f>IF(E219="","",E219/12)</f>
        <v/>
      </c>
      <c r="H219" s="6">
        <f>IF(E219="","",E219/12*(1+Parametros!$B$9))</f>
        <v/>
      </c>
      <c r="I219" s="6">
        <f>IF(G219="","",G219*(Parametros!$B$7+Parametros!$B$8))</f>
        <v/>
      </c>
      <c r="J219" s="6">
        <f>IF(H219="","",H219*(Parametros!$B$7+Parametros!$B$8))</f>
        <v/>
      </c>
      <c r="K219" s="6">
        <f>IF(E219="","",E219*Parametros!$B$6*(Parametros!$B$4+Parametros!$B$5))</f>
        <v/>
      </c>
      <c r="L219" s="6">
        <f>IF(E219="","",SUM(G219:K219))</f>
        <v/>
      </c>
    </row>
    <row r="220">
      <c r="E220" s="8" t="n"/>
      <c r="G220" s="6">
        <f>IF(E220="","",E220/12)</f>
        <v/>
      </c>
      <c r="H220" s="6">
        <f>IF(E220="","",E220/12*(1+Parametros!$B$9))</f>
        <v/>
      </c>
      <c r="I220" s="6">
        <f>IF(G220="","",G220*(Parametros!$B$7+Parametros!$B$8))</f>
        <v/>
      </c>
      <c r="J220" s="6">
        <f>IF(H220="","",H220*(Parametros!$B$7+Parametros!$B$8))</f>
        <v/>
      </c>
      <c r="K220" s="6">
        <f>IF(E220="","",E220*Parametros!$B$6*(Parametros!$B$4+Parametros!$B$5))</f>
        <v/>
      </c>
      <c r="L220" s="6">
        <f>IF(E220="","",SUM(G220:K220))</f>
        <v/>
      </c>
    </row>
    <row r="221">
      <c r="E221" s="8" t="n"/>
      <c r="G221" s="6">
        <f>IF(E221="","",E221/12)</f>
        <v/>
      </c>
      <c r="H221" s="6">
        <f>IF(E221="","",E221/12*(1+Parametros!$B$9))</f>
        <v/>
      </c>
      <c r="I221" s="6">
        <f>IF(G221="","",G221*(Parametros!$B$7+Parametros!$B$8))</f>
        <v/>
      </c>
      <c r="J221" s="6">
        <f>IF(H221="","",H221*(Parametros!$B$7+Parametros!$B$8))</f>
        <v/>
      </c>
      <c r="K221" s="6">
        <f>IF(E221="","",E221*Parametros!$B$6*(Parametros!$B$4+Parametros!$B$5))</f>
        <v/>
      </c>
      <c r="L221" s="6">
        <f>IF(E221="","",SUM(G221:K221))</f>
        <v/>
      </c>
    </row>
    <row r="222">
      <c r="E222" s="8" t="n"/>
      <c r="G222" s="6">
        <f>IF(E222="","",E222/12)</f>
        <v/>
      </c>
      <c r="H222" s="6">
        <f>IF(E222="","",E222/12*(1+Parametros!$B$9))</f>
        <v/>
      </c>
      <c r="I222" s="6">
        <f>IF(G222="","",G222*(Parametros!$B$7+Parametros!$B$8))</f>
        <v/>
      </c>
      <c r="J222" s="6">
        <f>IF(H222="","",H222*(Parametros!$B$7+Parametros!$B$8))</f>
        <v/>
      </c>
      <c r="K222" s="6">
        <f>IF(E222="","",E222*Parametros!$B$6*(Parametros!$B$4+Parametros!$B$5))</f>
        <v/>
      </c>
      <c r="L222" s="6">
        <f>IF(E222="","",SUM(G222:K222))</f>
        <v/>
      </c>
    </row>
    <row r="223">
      <c r="E223" s="8" t="n"/>
      <c r="G223" s="6">
        <f>IF(E223="","",E223/12)</f>
        <v/>
      </c>
      <c r="H223" s="6">
        <f>IF(E223="","",E223/12*(1+Parametros!$B$9))</f>
        <v/>
      </c>
      <c r="I223" s="6">
        <f>IF(G223="","",G223*(Parametros!$B$7+Parametros!$B$8))</f>
        <v/>
      </c>
      <c r="J223" s="6">
        <f>IF(H223="","",H223*(Parametros!$B$7+Parametros!$B$8))</f>
        <v/>
      </c>
      <c r="K223" s="6">
        <f>IF(E223="","",E223*Parametros!$B$6*(Parametros!$B$4+Parametros!$B$5))</f>
        <v/>
      </c>
      <c r="L223" s="6">
        <f>IF(E223="","",SUM(G223:K223))</f>
        <v/>
      </c>
    </row>
    <row r="224">
      <c r="E224" s="8" t="n"/>
      <c r="G224" s="6">
        <f>IF(E224="","",E224/12)</f>
        <v/>
      </c>
      <c r="H224" s="6">
        <f>IF(E224="","",E224/12*(1+Parametros!$B$9))</f>
        <v/>
      </c>
      <c r="I224" s="6">
        <f>IF(G224="","",G224*(Parametros!$B$7+Parametros!$B$8))</f>
        <v/>
      </c>
      <c r="J224" s="6">
        <f>IF(H224="","",H224*(Parametros!$B$7+Parametros!$B$8))</f>
        <v/>
      </c>
      <c r="K224" s="6">
        <f>IF(E224="","",E224*Parametros!$B$6*(Parametros!$B$4+Parametros!$B$5))</f>
        <v/>
      </c>
      <c r="L224" s="6">
        <f>IF(E224="","",SUM(G224:K224))</f>
        <v/>
      </c>
    </row>
    <row r="225">
      <c r="E225" s="8" t="n"/>
      <c r="G225" s="6">
        <f>IF(E225="","",E225/12)</f>
        <v/>
      </c>
      <c r="H225" s="6">
        <f>IF(E225="","",E225/12*(1+Parametros!$B$9))</f>
        <v/>
      </c>
      <c r="I225" s="6">
        <f>IF(G225="","",G225*(Parametros!$B$7+Parametros!$B$8))</f>
        <v/>
      </c>
      <c r="J225" s="6">
        <f>IF(H225="","",H225*(Parametros!$B$7+Parametros!$B$8))</f>
        <v/>
      </c>
      <c r="K225" s="6">
        <f>IF(E225="","",E225*Parametros!$B$6*(Parametros!$B$4+Parametros!$B$5))</f>
        <v/>
      </c>
      <c r="L225" s="6">
        <f>IF(E225="","",SUM(G225:K225))</f>
        <v/>
      </c>
    </row>
    <row r="226">
      <c r="E226" s="8" t="n"/>
      <c r="G226" s="6">
        <f>IF(E226="","",E226/12)</f>
        <v/>
      </c>
      <c r="H226" s="6">
        <f>IF(E226="","",E226/12*(1+Parametros!$B$9))</f>
        <v/>
      </c>
      <c r="I226" s="6">
        <f>IF(G226="","",G226*(Parametros!$B$7+Parametros!$B$8))</f>
        <v/>
      </c>
      <c r="J226" s="6">
        <f>IF(H226="","",H226*(Parametros!$B$7+Parametros!$B$8))</f>
        <v/>
      </c>
      <c r="K226" s="6">
        <f>IF(E226="","",E226*Parametros!$B$6*(Parametros!$B$4+Parametros!$B$5))</f>
        <v/>
      </c>
      <c r="L226" s="6">
        <f>IF(E226="","",SUM(G226:K226))</f>
        <v/>
      </c>
    </row>
    <row r="227">
      <c r="E227" s="8" t="n"/>
      <c r="G227" s="6">
        <f>IF(E227="","",E227/12)</f>
        <v/>
      </c>
      <c r="H227" s="6">
        <f>IF(E227="","",E227/12*(1+Parametros!$B$9))</f>
        <v/>
      </c>
      <c r="I227" s="6">
        <f>IF(G227="","",G227*(Parametros!$B$7+Parametros!$B$8))</f>
        <v/>
      </c>
      <c r="J227" s="6">
        <f>IF(H227="","",H227*(Parametros!$B$7+Parametros!$B$8))</f>
        <v/>
      </c>
      <c r="K227" s="6">
        <f>IF(E227="","",E227*Parametros!$B$6*(Parametros!$B$4+Parametros!$B$5))</f>
        <v/>
      </c>
      <c r="L227" s="6">
        <f>IF(E227="","",SUM(G227:K227))</f>
        <v/>
      </c>
    </row>
    <row r="228">
      <c r="E228" s="8" t="n"/>
      <c r="G228" s="6">
        <f>IF(E228="","",E228/12)</f>
        <v/>
      </c>
      <c r="H228" s="6">
        <f>IF(E228="","",E228/12*(1+Parametros!$B$9))</f>
        <v/>
      </c>
      <c r="I228" s="6">
        <f>IF(G228="","",G228*(Parametros!$B$7+Parametros!$B$8))</f>
        <v/>
      </c>
      <c r="J228" s="6">
        <f>IF(H228="","",H228*(Parametros!$B$7+Parametros!$B$8))</f>
        <v/>
      </c>
      <c r="K228" s="6">
        <f>IF(E228="","",E228*Parametros!$B$6*(Parametros!$B$4+Parametros!$B$5))</f>
        <v/>
      </c>
      <c r="L228" s="6">
        <f>IF(E228="","",SUM(G228:K228))</f>
        <v/>
      </c>
    </row>
    <row r="229">
      <c r="E229" s="8" t="n"/>
      <c r="G229" s="6">
        <f>IF(E229="","",E229/12)</f>
        <v/>
      </c>
      <c r="H229" s="6">
        <f>IF(E229="","",E229/12*(1+Parametros!$B$9))</f>
        <v/>
      </c>
      <c r="I229" s="6">
        <f>IF(G229="","",G229*(Parametros!$B$7+Parametros!$B$8))</f>
        <v/>
      </c>
      <c r="J229" s="6">
        <f>IF(H229="","",H229*(Parametros!$B$7+Parametros!$B$8))</f>
        <v/>
      </c>
      <c r="K229" s="6">
        <f>IF(E229="","",E229*Parametros!$B$6*(Parametros!$B$4+Parametros!$B$5))</f>
        <v/>
      </c>
      <c r="L229" s="6">
        <f>IF(E229="","",SUM(G229:K229))</f>
        <v/>
      </c>
    </row>
    <row r="230">
      <c r="E230" s="8" t="n"/>
      <c r="G230" s="6">
        <f>IF(E230="","",E230/12)</f>
        <v/>
      </c>
      <c r="H230" s="6">
        <f>IF(E230="","",E230/12*(1+Parametros!$B$9))</f>
        <v/>
      </c>
      <c r="I230" s="6">
        <f>IF(G230="","",G230*(Parametros!$B$7+Parametros!$B$8))</f>
        <v/>
      </c>
      <c r="J230" s="6">
        <f>IF(H230="","",H230*(Parametros!$B$7+Parametros!$B$8))</f>
        <v/>
      </c>
      <c r="K230" s="6">
        <f>IF(E230="","",E230*Parametros!$B$6*(Parametros!$B$4+Parametros!$B$5))</f>
        <v/>
      </c>
      <c r="L230" s="6">
        <f>IF(E230="","",SUM(G230:K230))</f>
        <v/>
      </c>
    </row>
    <row r="231">
      <c r="E231" s="8" t="n"/>
      <c r="G231" s="6">
        <f>IF(E231="","",E231/12)</f>
        <v/>
      </c>
      <c r="H231" s="6">
        <f>IF(E231="","",E231/12*(1+Parametros!$B$9))</f>
        <v/>
      </c>
      <c r="I231" s="6">
        <f>IF(G231="","",G231*(Parametros!$B$7+Parametros!$B$8))</f>
        <v/>
      </c>
      <c r="J231" s="6">
        <f>IF(H231="","",H231*(Parametros!$B$7+Parametros!$B$8))</f>
        <v/>
      </c>
      <c r="K231" s="6">
        <f>IF(E231="","",E231*Parametros!$B$6*(Parametros!$B$4+Parametros!$B$5))</f>
        <v/>
      </c>
      <c r="L231" s="6">
        <f>IF(E231="","",SUM(G231:K231))</f>
        <v/>
      </c>
    </row>
    <row r="232">
      <c r="E232" s="8" t="n"/>
      <c r="G232" s="6">
        <f>IF(E232="","",E232/12)</f>
        <v/>
      </c>
      <c r="H232" s="6">
        <f>IF(E232="","",E232/12*(1+Parametros!$B$9))</f>
        <v/>
      </c>
      <c r="I232" s="6">
        <f>IF(G232="","",G232*(Parametros!$B$7+Parametros!$B$8))</f>
        <v/>
      </c>
      <c r="J232" s="6">
        <f>IF(H232="","",H232*(Parametros!$B$7+Parametros!$B$8))</f>
        <v/>
      </c>
      <c r="K232" s="6">
        <f>IF(E232="","",E232*Parametros!$B$6*(Parametros!$B$4+Parametros!$B$5))</f>
        <v/>
      </c>
      <c r="L232" s="6">
        <f>IF(E232="","",SUM(G232:K232))</f>
        <v/>
      </c>
    </row>
    <row r="233">
      <c r="E233" s="8" t="n"/>
      <c r="G233" s="6">
        <f>IF(E233="","",E233/12)</f>
        <v/>
      </c>
      <c r="H233" s="6">
        <f>IF(E233="","",E233/12*(1+Parametros!$B$9))</f>
        <v/>
      </c>
      <c r="I233" s="6">
        <f>IF(G233="","",G233*(Parametros!$B$7+Parametros!$B$8))</f>
        <v/>
      </c>
      <c r="J233" s="6">
        <f>IF(H233="","",H233*(Parametros!$B$7+Parametros!$B$8))</f>
        <v/>
      </c>
      <c r="K233" s="6">
        <f>IF(E233="","",E233*Parametros!$B$6*(Parametros!$B$4+Parametros!$B$5))</f>
        <v/>
      </c>
      <c r="L233" s="6">
        <f>IF(E233="","",SUM(G233:K233))</f>
        <v/>
      </c>
    </row>
    <row r="234">
      <c r="E234" s="8" t="n"/>
      <c r="G234" s="6">
        <f>IF(E234="","",E234/12)</f>
        <v/>
      </c>
      <c r="H234" s="6">
        <f>IF(E234="","",E234/12*(1+Parametros!$B$9))</f>
        <v/>
      </c>
      <c r="I234" s="6">
        <f>IF(G234="","",G234*(Parametros!$B$7+Parametros!$B$8))</f>
        <v/>
      </c>
      <c r="J234" s="6">
        <f>IF(H234="","",H234*(Parametros!$B$7+Parametros!$B$8))</f>
        <v/>
      </c>
      <c r="K234" s="6">
        <f>IF(E234="","",E234*Parametros!$B$6*(Parametros!$B$4+Parametros!$B$5))</f>
        <v/>
      </c>
      <c r="L234" s="6">
        <f>IF(E234="","",SUM(G234:K234))</f>
        <v/>
      </c>
    </row>
    <row r="235">
      <c r="E235" s="8" t="n"/>
      <c r="G235" s="6">
        <f>IF(E235="","",E235/12)</f>
        <v/>
      </c>
      <c r="H235" s="6">
        <f>IF(E235="","",E235/12*(1+Parametros!$B$9))</f>
        <v/>
      </c>
      <c r="I235" s="6">
        <f>IF(G235="","",G235*(Parametros!$B$7+Parametros!$B$8))</f>
        <v/>
      </c>
      <c r="J235" s="6">
        <f>IF(H235="","",H235*(Parametros!$B$7+Parametros!$B$8))</f>
        <v/>
      </c>
      <c r="K235" s="6">
        <f>IF(E235="","",E235*Parametros!$B$6*(Parametros!$B$4+Parametros!$B$5))</f>
        <v/>
      </c>
      <c r="L235" s="6">
        <f>IF(E235="","",SUM(G235:K235))</f>
        <v/>
      </c>
    </row>
    <row r="236">
      <c r="E236" s="8" t="n"/>
      <c r="G236" s="6">
        <f>IF(E236="","",E236/12)</f>
        <v/>
      </c>
      <c r="H236" s="6">
        <f>IF(E236="","",E236/12*(1+Parametros!$B$9))</f>
        <v/>
      </c>
      <c r="I236" s="6">
        <f>IF(G236="","",G236*(Parametros!$B$7+Parametros!$B$8))</f>
        <v/>
      </c>
      <c r="J236" s="6">
        <f>IF(H236="","",H236*(Parametros!$B$7+Parametros!$B$8))</f>
        <v/>
      </c>
      <c r="K236" s="6">
        <f>IF(E236="","",E236*Parametros!$B$6*(Parametros!$B$4+Parametros!$B$5))</f>
        <v/>
      </c>
      <c r="L236" s="6">
        <f>IF(E236="","",SUM(G236:K236))</f>
        <v/>
      </c>
    </row>
    <row r="237">
      <c r="E237" s="8" t="n"/>
      <c r="G237" s="6">
        <f>IF(E237="","",E237/12)</f>
        <v/>
      </c>
      <c r="H237" s="6">
        <f>IF(E237="","",E237/12*(1+Parametros!$B$9))</f>
        <v/>
      </c>
      <c r="I237" s="6">
        <f>IF(G237="","",G237*(Parametros!$B$7+Parametros!$B$8))</f>
        <v/>
      </c>
      <c r="J237" s="6">
        <f>IF(H237="","",H237*(Parametros!$B$7+Parametros!$B$8))</f>
        <v/>
      </c>
      <c r="K237" s="6">
        <f>IF(E237="","",E237*Parametros!$B$6*(Parametros!$B$4+Parametros!$B$5))</f>
        <v/>
      </c>
      <c r="L237" s="6">
        <f>IF(E237="","",SUM(G237:K237))</f>
        <v/>
      </c>
    </row>
    <row r="238">
      <c r="E238" s="8" t="n"/>
      <c r="G238" s="6">
        <f>IF(E238="","",E238/12)</f>
        <v/>
      </c>
      <c r="H238" s="6">
        <f>IF(E238="","",E238/12*(1+Parametros!$B$9))</f>
        <v/>
      </c>
      <c r="I238" s="6">
        <f>IF(G238="","",G238*(Parametros!$B$7+Parametros!$B$8))</f>
        <v/>
      </c>
      <c r="J238" s="6">
        <f>IF(H238="","",H238*(Parametros!$B$7+Parametros!$B$8))</f>
        <v/>
      </c>
      <c r="K238" s="6">
        <f>IF(E238="","",E238*Parametros!$B$6*(Parametros!$B$4+Parametros!$B$5))</f>
        <v/>
      </c>
      <c r="L238" s="6">
        <f>IF(E238="","",SUM(G238:K238))</f>
        <v/>
      </c>
    </row>
    <row r="239">
      <c r="E239" s="8" t="n"/>
      <c r="G239" s="6">
        <f>IF(E239="","",E239/12)</f>
        <v/>
      </c>
      <c r="H239" s="6">
        <f>IF(E239="","",E239/12*(1+Parametros!$B$9))</f>
        <v/>
      </c>
      <c r="I239" s="6">
        <f>IF(G239="","",G239*(Parametros!$B$7+Parametros!$B$8))</f>
        <v/>
      </c>
      <c r="J239" s="6">
        <f>IF(H239="","",H239*(Parametros!$B$7+Parametros!$B$8))</f>
        <v/>
      </c>
      <c r="K239" s="6">
        <f>IF(E239="","",E239*Parametros!$B$6*(Parametros!$B$4+Parametros!$B$5))</f>
        <v/>
      </c>
      <c r="L239" s="6">
        <f>IF(E239="","",SUM(G239:K239))</f>
        <v/>
      </c>
    </row>
    <row r="240">
      <c r="E240" s="8" t="n"/>
      <c r="G240" s="6">
        <f>IF(E240="","",E240/12)</f>
        <v/>
      </c>
      <c r="H240" s="6">
        <f>IF(E240="","",E240/12*(1+Parametros!$B$9))</f>
        <v/>
      </c>
      <c r="I240" s="6">
        <f>IF(G240="","",G240*(Parametros!$B$7+Parametros!$B$8))</f>
        <v/>
      </c>
      <c r="J240" s="6">
        <f>IF(H240="","",H240*(Parametros!$B$7+Parametros!$B$8))</f>
        <v/>
      </c>
      <c r="K240" s="6">
        <f>IF(E240="","",E240*Parametros!$B$6*(Parametros!$B$4+Parametros!$B$5))</f>
        <v/>
      </c>
      <c r="L240" s="6">
        <f>IF(E240="","",SUM(G240:K240))</f>
        <v/>
      </c>
    </row>
    <row r="241">
      <c r="E241" s="8" t="n"/>
      <c r="G241" s="6">
        <f>IF(E241="","",E241/12)</f>
        <v/>
      </c>
      <c r="H241" s="6">
        <f>IF(E241="","",E241/12*(1+Parametros!$B$9))</f>
        <v/>
      </c>
      <c r="I241" s="6">
        <f>IF(G241="","",G241*(Parametros!$B$7+Parametros!$B$8))</f>
        <v/>
      </c>
      <c r="J241" s="6">
        <f>IF(H241="","",H241*(Parametros!$B$7+Parametros!$B$8))</f>
        <v/>
      </c>
      <c r="K241" s="6">
        <f>IF(E241="","",E241*Parametros!$B$6*(Parametros!$B$4+Parametros!$B$5))</f>
        <v/>
      </c>
      <c r="L241" s="6">
        <f>IF(E241="","",SUM(G241:K241))</f>
        <v/>
      </c>
    </row>
    <row r="242">
      <c r="E242" s="8" t="n"/>
      <c r="G242" s="6">
        <f>IF(E242="","",E242/12)</f>
        <v/>
      </c>
      <c r="H242" s="6">
        <f>IF(E242="","",E242/12*(1+Parametros!$B$9))</f>
        <v/>
      </c>
      <c r="I242" s="6">
        <f>IF(G242="","",G242*(Parametros!$B$7+Parametros!$B$8))</f>
        <v/>
      </c>
      <c r="J242" s="6">
        <f>IF(H242="","",H242*(Parametros!$B$7+Parametros!$B$8))</f>
        <v/>
      </c>
      <c r="K242" s="6">
        <f>IF(E242="","",E242*Parametros!$B$6*(Parametros!$B$4+Parametros!$B$5))</f>
        <v/>
      </c>
      <c r="L242" s="6">
        <f>IF(E242="","",SUM(G242:K242))</f>
        <v/>
      </c>
    </row>
    <row r="243">
      <c r="E243" s="8" t="n"/>
      <c r="G243" s="6">
        <f>IF(E243="","",E243/12)</f>
        <v/>
      </c>
      <c r="H243" s="6">
        <f>IF(E243="","",E243/12*(1+Parametros!$B$9))</f>
        <v/>
      </c>
      <c r="I243" s="6">
        <f>IF(G243="","",G243*(Parametros!$B$7+Parametros!$B$8))</f>
        <v/>
      </c>
      <c r="J243" s="6">
        <f>IF(H243="","",H243*(Parametros!$B$7+Parametros!$B$8))</f>
        <v/>
      </c>
      <c r="K243" s="6">
        <f>IF(E243="","",E243*Parametros!$B$6*(Parametros!$B$4+Parametros!$B$5))</f>
        <v/>
      </c>
      <c r="L243" s="6">
        <f>IF(E243="","",SUM(G243:K243))</f>
        <v/>
      </c>
    </row>
    <row r="244">
      <c r="E244" s="8" t="n"/>
      <c r="G244" s="6">
        <f>IF(E244="","",E244/12)</f>
        <v/>
      </c>
      <c r="H244" s="6">
        <f>IF(E244="","",E244/12*(1+Parametros!$B$9))</f>
        <v/>
      </c>
      <c r="I244" s="6">
        <f>IF(G244="","",G244*(Parametros!$B$7+Parametros!$B$8))</f>
        <v/>
      </c>
      <c r="J244" s="6">
        <f>IF(H244="","",H244*(Parametros!$B$7+Parametros!$B$8))</f>
        <v/>
      </c>
      <c r="K244" s="6">
        <f>IF(E244="","",E244*Parametros!$B$6*(Parametros!$B$4+Parametros!$B$5))</f>
        <v/>
      </c>
      <c r="L244" s="6">
        <f>IF(E244="","",SUM(G244:K244))</f>
        <v/>
      </c>
    </row>
    <row r="245">
      <c r="E245" s="8" t="n"/>
      <c r="G245" s="6">
        <f>IF(E245="","",E245/12)</f>
        <v/>
      </c>
      <c r="H245" s="6">
        <f>IF(E245="","",E245/12*(1+Parametros!$B$9))</f>
        <v/>
      </c>
      <c r="I245" s="6">
        <f>IF(G245="","",G245*(Parametros!$B$7+Parametros!$B$8))</f>
        <v/>
      </c>
      <c r="J245" s="6">
        <f>IF(H245="","",H245*(Parametros!$B$7+Parametros!$B$8))</f>
        <v/>
      </c>
      <c r="K245" s="6">
        <f>IF(E245="","",E245*Parametros!$B$6*(Parametros!$B$4+Parametros!$B$5))</f>
        <v/>
      </c>
      <c r="L245" s="6">
        <f>IF(E245="","",SUM(G245:K245))</f>
        <v/>
      </c>
    </row>
    <row r="246">
      <c r="E246" s="8" t="n"/>
      <c r="G246" s="6">
        <f>IF(E246="","",E246/12)</f>
        <v/>
      </c>
      <c r="H246" s="6">
        <f>IF(E246="","",E246/12*(1+Parametros!$B$9))</f>
        <v/>
      </c>
      <c r="I246" s="6">
        <f>IF(G246="","",G246*(Parametros!$B$7+Parametros!$B$8))</f>
        <v/>
      </c>
      <c r="J246" s="6">
        <f>IF(H246="","",H246*(Parametros!$B$7+Parametros!$B$8))</f>
        <v/>
      </c>
      <c r="K246" s="6">
        <f>IF(E246="","",E246*Parametros!$B$6*(Parametros!$B$4+Parametros!$B$5))</f>
        <v/>
      </c>
      <c r="L246" s="6">
        <f>IF(E246="","",SUM(G246:K246))</f>
        <v/>
      </c>
    </row>
    <row r="247">
      <c r="E247" s="8" t="n"/>
      <c r="G247" s="6">
        <f>IF(E247="","",E247/12)</f>
        <v/>
      </c>
      <c r="H247" s="6">
        <f>IF(E247="","",E247/12*(1+Parametros!$B$9))</f>
        <v/>
      </c>
      <c r="I247" s="6">
        <f>IF(G247="","",G247*(Parametros!$B$7+Parametros!$B$8))</f>
        <v/>
      </c>
      <c r="J247" s="6">
        <f>IF(H247="","",H247*(Parametros!$B$7+Parametros!$B$8))</f>
        <v/>
      </c>
      <c r="K247" s="6">
        <f>IF(E247="","",E247*Parametros!$B$6*(Parametros!$B$4+Parametros!$B$5))</f>
        <v/>
      </c>
      <c r="L247" s="6">
        <f>IF(E247="","",SUM(G247:K247))</f>
        <v/>
      </c>
    </row>
    <row r="248">
      <c r="E248" s="8" t="n"/>
      <c r="G248" s="6">
        <f>IF(E248="","",E248/12)</f>
        <v/>
      </c>
      <c r="H248" s="6">
        <f>IF(E248="","",E248/12*(1+Parametros!$B$9))</f>
        <v/>
      </c>
      <c r="I248" s="6">
        <f>IF(G248="","",G248*(Parametros!$B$7+Parametros!$B$8))</f>
        <v/>
      </c>
      <c r="J248" s="6">
        <f>IF(H248="","",H248*(Parametros!$B$7+Parametros!$B$8))</f>
        <v/>
      </c>
      <c r="K248" s="6">
        <f>IF(E248="","",E248*Parametros!$B$6*(Parametros!$B$4+Parametros!$B$5))</f>
        <v/>
      </c>
      <c r="L248" s="6">
        <f>IF(E248="","",SUM(G248:K248))</f>
        <v/>
      </c>
    </row>
    <row r="249">
      <c r="E249" s="8" t="n"/>
      <c r="G249" s="6">
        <f>IF(E249="","",E249/12)</f>
        <v/>
      </c>
      <c r="H249" s="6">
        <f>IF(E249="","",E249/12*(1+Parametros!$B$9))</f>
        <v/>
      </c>
      <c r="I249" s="6">
        <f>IF(G249="","",G249*(Parametros!$B$7+Parametros!$B$8))</f>
        <v/>
      </c>
      <c r="J249" s="6">
        <f>IF(H249="","",H249*(Parametros!$B$7+Parametros!$B$8))</f>
        <v/>
      </c>
      <c r="K249" s="6">
        <f>IF(E249="","",E249*Parametros!$B$6*(Parametros!$B$4+Parametros!$B$5))</f>
        <v/>
      </c>
      <c r="L249" s="6">
        <f>IF(E249="","",SUM(G249:K249))</f>
        <v/>
      </c>
    </row>
    <row r="250">
      <c r="E250" s="8" t="n"/>
      <c r="G250" s="6">
        <f>IF(E250="","",E250/12)</f>
        <v/>
      </c>
      <c r="H250" s="6">
        <f>IF(E250="","",E250/12*(1+Parametros!$B$9))</f>
        <v/>
      </c>
      <c r="I250" s="6">
        <f>IF(G250="","",G250*(Parametros!$B$7+Parametros!$B$8))</f>
        <v/>
      </c>
      <c r="J250" s="6">
        <f>IF(H250="","",H250*(Parametros!$B$7+Parametros!$B$8))</f>
        <v/>
      </c>
      <c r="K250" s="6">
        <f>IF(E250="","",E250*Parametros!$B$6*(Parametros!$B$4+Parametros!$B$5))</f>
        <v/>
      </c>
      <c r="L250" s="6">
        <f>IF(E250="","",SUM(G250:K250))</f>
        <v/>
      </c>
    </row>
    <row r="251">
      <c r="E251" s="8" t="n"/>
      <c r="G251" s="6">
        <f>IF(E251="","",E251/12)</f>
        <v/>
      </c>
      <c r="H251" s="6">
        <f>IF(E251="","",E251/12*(1+Parametros!$B$9))</f>
        <v/>
      </c>
      <c r="I251" s="6">
        <f>IF(G251="","",G251*(Parametros!$B$7+Parametros!$B$8))</f>
        <v/>
      </c>
      <c r="J251" s="6">
        <f>IF(H251="","",H251*(Parametros!$B$7+Parametros!$B$8))</f>
        <v/>
      </c>
      <c r="K251" s="6">
        <f>IF(E251="","",E251*Parametros!$B$6*(Parametros!$B$4+Parametros!$B$5))</f>
        <v/>
      </c>
      <c r="L251" s="6">
        <f>IF(E251="","",SUM(G251:K251))</f>
        <v/>
      </c>
    </row>
    <row r="252">
      <c r="E252" s="8" t="n"/>
      <c r="G252" s="6">
        <f>IF(E252="","",E252/12)</f>
        <v/>
      </c>
      <c r="H252" s="6">
        <f>IF(E252="","",E252/12*(1+Parametros!$B$9))</f>
        <v/>
      </c>
      <c r="I252" s="6">
        <f>IF(G252="","",G252*(Parametros!$B$7+Parametros!$B$8))</f>
        <v/>
      </c>
      <c r="J252" s="6">
        <f>IF(H252="","",H252*(Parametros!$B$7+Parametros!$B$8))</f>
        <v/>
      </c>
      <c r="K252" s="6">
        <f>IF(E252="","",E252*Parametros!$B$6*(Parametros!$B$4+Parametros!$B$5))</f>
        <v/>
      </c>
      <c r="L252" s="6">
        <f>IF(E252="","",SUM(G252:K252))</f>
        <v/>
      </c>
    </row>
    <row r="253">
      <c r="E253" s="8" t="n"/>
      <c r="G253" s="6">
        <f>IF(E253="","",E253/12)</f>
        <v/>
      </c>
      <c r="H253" s="6">
        <f>IF(E253="","",E253/12*(1+Parametros!$B$9))</f>
        <v/>
      </c>
      <c r="I253" s="6">
        <f>IF(G253="","",G253*(Parametros!$B$7+Parametros!$B$8))</f>
        <v/>
      </c>
      <c r="J253" s="6">
        <f>IF(H253="","",H253*(Parametros!$B$7+Parametros!$B$8))</f>
        <v/>
      </c>
      <c r="K253" s="6">
        <f>IF(E253="","",E253*Parametros!$B$6*(Parametros!$B$4+Parametros!$B$5))</f>
        <v/>
      </c>
      <c r="L253" s="6">
        <f>IF(E253="","",SUM(G253:K253))</f>
        <v/>
      </c>
    </row>
    <row r="254">
      <c r="E254" s="8" t="n"/>
      <c r="G254" s="6">
        <f>IF(E254="","",E254/12)</f>
        <v/>
      </c>
      <c r="H254" s="6">
        <f>IF(E254="","",E254/12*(1+Parametros!$B$9))</f>
        <v/>
      </c>
      <c r="I254" s="6">
        <f>IF(G254="","",G254*(Parametros!$B$7+Parametros!$B$8))</f>
        <v/>
      </c>
      <c r="J254" s="6">
        <f>IF(H254="","",H254*(Parametros!$B$7+Parametros!$B$8))</f>
        <v/>
      </c>
      <c r="K254" s="6">
        <f>IF(E254="","",E254*Parametros!$B$6*(Parametros!$B$4+Parametros!$B$5))</f>
        <v/>
      </c>
      <c r="L254" s="6">
        <f>IF(E254="","",SUM(G254:K254))</f>
        <v/>
      </c>
    </row>
    <row r="255">
      <c r="E255" s="8" t="n"/>
      <c r="G255" s="6">
        <f>IF(E255="","",E255/12)</f>
        <v/>
      </c>
      <c r="H255" s="6">
        <f>IF(E255="","",E255/12*(1+Parametros!$B$9))</f>
        <v/>
      </c>
      <c r="I255" s="6">
        <f>IF(G255="","",G255*(Parametros!$B$7+Parametros!$B$8))</f>
        <v/>
      </c>
      <c r="J255" s="6">
        <f>IF(H255="","",H255*(Parametros!$B$7+Parametros!$B$8))</f>
        <v/>
      </c>
      <c r="K255" s="6">
        <f>IF(E255="","",E255*Parametros!$B$6*(Parametros!$B$4+Parametros!$B$5))</f>
        <v/>
      </c>
      <c r="L255" s="6">
        <f>IF(E255="","",SUM(G255:K255))</f>
        <v/>
      </c>
    </row>
    <row r="256">
      <c r="E256" s="8" t="n"/>
      <c r="G256" s="6">
        <f>IF(E256="","",E256/12)</f>
        <v/>
      </c>
      <c r="H256" s="6">
        <f>IF(E256="","",E256/12*(1+Parametros!$B$9))</f>
        <v/>
      </c>
      <c r="I256" s="6">
        <f>IF(G256="","",G256*(Parametros!$B$7+Parametros!$B$8))</f>
        <v/>
      </c>
      <c r="J256" s="6">
        <f>IF(H256="","",H256*(Parametros!$B$7+Parametros!$B$8))</f>
        <v/>
      </c>
      <c r="K256" s="6">
        <f>IF(E256="","",E256*Parametros!$B$6*(Parametros!$B$4+Parametros!$B$5))</f>
        <v/>
      </c>
      <c r="L256" s="6">
        <f>IF(E256="","",SUM(G256:K256))</f>
        <v/>
      </c>
    </row>
    <row r="257">
      <c r="E257" s="8" t="n"/>
      <c r="G257" s="6">
        <f>IF(E257="","",E257/12)</f>
        <v/>
      </c>
      <c r="H257" s="6">
        <f>IF(E257="","",E257/12*(1+Parametros!$B$9))</f>
        <v/>
      </c>
      <c r="I257" s="6">
        <f>IF(G257="","",G257*(Parametros!$B$7+Parametros!$B$8))</f>
        <v/>
      </c>
      <c r="J257" s="6">
        <f>IF(H257="","",H257*(Parametros!$B$7+Parametros!$B$8))</f>
        <v/>
      </c>
      <c r="K257" s="6">
        <f>IF(E257="","",E257*Parametros!$B$6*(Parametros!$B$4+Parametros!$B$5))</f>
        <v/>
      </c>
      <c r="L257" s="6">
        <f>IF(E257="","",SUM(G257:K257))</f>
        <v/>
      </c>
    </row>
    <row r="258">
      <c r="E258" s="8" t="n"/>
      <c r="G258" s="6">
        <f>IF(E258="","",E258/12)</f>
        <v/>
      </c>
      <c r="H258" s="6">
        <f>IF(E258="","",E258/12*(1+Parametros!$B$9))</f>
        <v/>
      </c>
      <c r="I258" s="6">
        <f>IF(G258="","",G258*(Parametros!$B$7+Parametros!$B$8))</f>
        <v/>
      </c>
      <c r="J258" s="6">
        <f>IF(H258="","",H258*(Parametros!$B$7+Parametros!$B$8))</f>
        <v/>
      </c>
      <c r="K258" s="6">
        <f>IF(E258="","",E258*Parametros!$B$6*(Parametros!$B$4+Parametros!$B$5))</f>
        <v/>
      </c>
      <c r="L258" s="6">
        <f>IF(E258="","",SUM(G258:K258))</f>
        <v/>
      </c>
    </row>
    <row r="259">
      <c r="E259" s="8" t="n"/>
      <c r="G259" s="6">
        <f>IF(E259="","",E259/12)</f>
        <v/>
      </c>
      <c r="H259" s="6">
        <f>IF(E259="","",E259/12*(1+Parametros!$B$9))</f>
        <v/>
      </c>
      <c r="I259" s="6">
        <f>IF(G259="","",G259*(Parametros!$B$7+Parametros!$B$8))</f>
        <v/>
      </c>
      <c r="J259" s="6">
        <f>IF(H259="","",H259*(Parametros!$B$7+Parametros!$B$8))</f>
        <v/>
      </c>
      <c r="K259" s="6">
        <f>IF(E259="","",E259*Parametros!$B$6*(Parametros!$B$4+Parametros!$B$5))</f>
        <v/>
      </c>
      <c r="L259" s="6">
        <f>IF(E259="","",SUM(G259:K259))</f>
        <v/>
      </c>
    </row>
    <row r="260">
      <c r="E260" s="8" t="n"/>
      <c r="G260" s="6">
        <f>IF(E260="","",E260/12)</f>
        <v/>
      </c>
      <c r="H260" s="6">
        <f>IF(E260="","",E260/12*(1+Parametros!$B$9))</f>
        <v/>
      </c>
      <c r="I260" s="6">
        <f>IF(G260="","",G260*(Parametros!$B$7+Parametros!$B$8))</f>
        <v/>
      </c>
      <c r="J260" s="6">
        <f>IF(H260="","",H260*(Parametros!$B$7+Parametros!$B$8))</f>
        <v/>
      </c>
      <c r="K260" s="6">
        <f>IF(E260="","",E260*Parametros!$B$6*(Parametros!$B$4+Parametros!$B$5))</f>
        <v/>
      </c>
      <c r="L260" s="6">
        <f>IF(E260="","",SUM(G260:K260))</f>
        <v/>
      </c>
    </row>
    <row r="261">
      <c r="E261" s="8" t="n"/>
      <c r="G261" s="6">
        <f>IF(E261="","",E261/12)</f>
        <v/>
      </c>
      <c r="H261" s="6">
        <f>IF(E261="","",E261/12*(1+Parametros!$B$9))</f>
        <v/>
      </c>
      <c r="I261" s="6">
        <f>IF(G261="","",G261*(Parametros!$B$7+Parametros!$B$8))</f>
        <v/>
      </c>
      <c r="J261" s="6">
        <f>IF(H261="","",H261*(Parametros!$B$7+Parametros!$B$8))</f>
        <v/>
      </c>
      <c r="K261" s="6">
        <f>IF(E261="","",E261*Parametros!$B$6*(Parametros!$B$4+Parametros!$B$5))</f>
        <v/>
      </c>
      <c r="L261" s="6">
        <f>IF(E261="","",SUM(G261:K261))</f>
        <v/>
      </c>
    </row>
    <row r="262">
      <c r="E262" s="8" t="n"/>
      <c r="G262" s="6">
        <f>IF(E262="","",E262/12)</f>
        <v/>
      </c>
      <c r="H262" s="6">
        <f>IF(E262="","",E262/12*(1+Parametros!$B$9))</f>
        <v/>
      </c>
      <c r="I262" s="6">
        <f>IF(G262="","",G262*(Parametros!$B$7+Parametros!$B$8))</f>
        <v/>
      </c>
      <c r="J262" s="6">
        <f>IF(H262="","",H262*(Parametros!$B$7+Parametros!$B$8))</f>
        <v/>
      </c>
      <c r="K262" s="6">
        <f>IF(E262="","",E262*Parametros!$B$6*(Parametros!$B$4+Parametros!$B$5))</f>
        <v/>
      </c>
      <c r="L262" s="6">
        <f>IF(E262="","",SUM(G262:K262))</f>
        <v/>
      </c>
    </row>
    <row r="263">
      <c r="E263" s="8" t="n"/>
      <c r="G263" s="6">
        <f>IF(E263="","",E263/12)</f>
        <v/>
      </c>
      <c r="H263" s="6">
        <f>IF(E263="","",E263/12*(1+Parametros!$B$9))</f>
        <v/>
      </c>
      <c r="I263" s="6">
        <f>IF(G263="","",G263*(Parametros!$B$7+Parametros!$B$8))</f>
        <v/>
      </c>
      <c r="J263" s="6">
        <f>IF(H263="","",H263*(Parametros!$B$7+Parametros!$B$8))</f>
        <v/>
      </c>
      <c r="K263" s="6">
        <f>IF(E263="","",E263*Parametros!$B$6*(Parametros!$B$4+Parametros!$B$5))</f>
        <v/>
      </c>
      <c r="L263" s="6">
        <f>IF(E263="","",SUM(G263:K263))</f>
        <v/>
      </c>
    </row>
    <row r="264">
      <c r="E264" s="8" t="n"/>
      <c r="G264" s="6">
        <f>IF(E264="","",E264/12)</f>
        <v/>
      </c>
      <c r="H264" s="6">
        <f>IF(E264="","",E264/12*(1+Parametros!$B$9))</f>
        <v/>
      </c>
      <c r="I264" s="6">
        <f>IF(G264="","",G264*(Parametros!$B$7+Parametros!$B$8))</f>
        <v/>
      </c>
      <c r="J264" s="6">
        <f>IF(H264="","",H264*(Parametros!$B$7+Parametros!$B$8))</f>
        <v/>
      </c>
      <c r="K264" s="6">
        <f>IF(E264="","",E264*Parametros!$B$6*(Parametros!$B$4+Parametros!$B$5))</f>
        <v/>
      </c>
      <c r="L264" s="6">
        <f>IF(E264="","",SUM(G264:K264))</f>
        <v/>
      </c>
    </row>
    <row r="265">
      <c r="E265" s="8" t="n"/>
      <c r="G265" s="6">
        <f>IF(E265="","",E265/12)</f>
        <v/>
      </c>
      <c r="H265" s="6">
        <f>IF(E265="","",E265/12*(1+Parametros!$B$9))</f>
        <v/>
      </c>
      <c r="I265" s="6">
        <f>IF(G265="","",G265*(Parametros!$B$7+Parametros!$B$8))</f>
        <v/>
      </c>
      <c r="J265" s="6">
        <f>IF(H265="","",H265*(Parametros!$B$7+Parametros!$B$8))</f>
        <v/>
      </c>
      <c r="K265" s="6">
        <f>IF(E265="","",E265*Parametros!$B$6*(Parametros!$B$4+Parametros!$B$5))</f>
        <v/>
      </c>
      <c r="L265" s="6">
        <f>IF(E265="","",SUM(G265:K265))</f>
        <v/>
      </c>
    </row>
    <row r="266">
      <c r="E266" s="8" t="n"/>
      <c r="G266" s="6">
        <f>IF(E266="","",E266/12)</f>
        <v/>
      </c>
      <c r="H266" s="6">
        <f>IF(E266="","",E266/12*(1+Parametros!$B$9))</f>
        <v/>
      </c>
      <c r="I266" s="6">
        <f>IF(G266="","",G266*(Parametros!$B$7+Parametros!$B$8))</f>
        <v/>
      </c>
      <c r="J266" s="6">
        <f>IF(H266="","",H266*(Parametros!$B$7+Parametros!$B$8))</f>
        <v/>
      </c>
      <c r="K266" s="6">
        <f>IF(E266="","",E266*Parametros!$B$6*(Parametros!$B$4+Parametros!$B$5))</f>
        <v/>
      </c>
      <c r="L266" s="6">
        <f>IF(E266="","",SUM(G266:K266))</f>
        <v/>
      </c>
    </row>
    <row r="267">
      <c r="E267" s="8" t="n"/>
      <c r="G267" s="6">
        <f>IF(E267="","",E267/12)</f>
        <v/>
      </c>
      <c r="H267" s="6">
        <f>IF(E267="","",E267/12*(1+Parametros!$B$9))</f>
        <v/>
      </c>
      <c r="I267" s="6">
        <f>IF(G267="","",G267*(Parametros!$B$7+Parametros!$B$8))</f>
        <v/>
      </c>
      <c r="J267" s="6">
        <f>IF(H267="","",H267*(Parametros!$B$7+Parametros!$B$8))</f>
        <v/>
      </c>
      <c r="K267" s="6">
        <f>IF(E267="","",E267*Parametros!$B$6*(Parametros!$B$4+Parametros!$B$5))</f>
        <v/>
      </c>
      <c r="L267" s="6">
        <f>IF(E267="","",SUM(G267:K267))</f>
        <v/>
      </c>
    </row>
    <row r="268">
      <c r="E268" s="8" t="n"/>
      <c r="G268" s="6">
        <f>IF(E268="","",E268/12)</f>
        <v/>
      </c>
      <c r="H268" s="6">
        <f>IF(E268="","",E268/12*(1+Parametros!$B$9))</f>
        <v/>
      </c>
      <c r="I268" s="6">
        <f>IF(G268="","",G268*(Parametros!$B$7+Parametros!$B$8))</f>
        <v/>
      </c>
      <c r="J268" s="6">
        <f>IF(H268="","",H268*(Parametros!$B$7+Parametros!$B$8))</f>
        <v/>
      </c>
      <c r="K268" s="6">
        <f>IF(E268="","",E268*Parametros!$B$6*(Parametros!$B$4+Parametros!$B$5))</f>
        <v/>
      </c>
      <c r="L268" s="6">
        <f>IF(E268="","",SUM(G268:K268))</f>
        <v/>
      </c>
    </row>
    <row r="269">
      <c r="E269" s="8" t="n"/>
      <c r="G269" s="6">
        <f>IF(E269="","",E269/12)</f>
        <v/>
      </c>
      <c r="H269" s="6">
        <f>IF(E269="","",E269/12*(1+Parametros!$B$9))</f>
        <v/>
      </c>
      <c r="I269" s="6">
        <f>IF(G269="","",G269*(Parametros!$B$7+Parametros!$B$8))</f>
        <v/>
      </c>
      <c r="J269" s="6">
        <f>IF(H269="","",H269*(Parametros!$B$7+Parametros!$B$8))</f>
        <v/>
      </c>
      <c r="K269" s="6">
        <f>IF(E269="","",E269*Parametros!$B$6*(Parametros!$B$4+Parametros!$B$5))</f>
        <v/>
      </c>
      <c r="L269" s="6">
        <f>IF(E269="","",SUM(G269:K269))</f>
        <v/>
      </c>
    </row>
    <row r="270">
      <c r="E270" s="8" t="n"/>
      <c r="G270" s="6">
        <f>IF(E270="","",E270/12)</f>
        <v/>
      </c>
      <c r="H270" s="6">
        <f>IF(E270="","",E270/12*(1+Parametros!$B$9))</f>
        <v/>
      </c>
      <c r="I270" s="6">
        <f>IF(G270="","",G270*(Parametros!$B$7+Parametros!$B$8))</f>
        <v/>
      </c>
      <c r="J270" s="6">
        <f>IF(H270="","",H270*(Parametros!$B$7+Parametros!$B$8))</f>
        <v/>
      </c>
      <c r="K270" s="6">
        <f>IF(E270="","",E270*Parametros!$B$6*(Parametros!$B$4+Parametros!$B$5))</f>
        <v/>
      </c>
      <c r="L270" s="6">
        <f>IF(E270="","",SUM(G270:K270))</f>
        <v/>
      </c>
    </row>
    <row r="271">
      <c r="E271" s="8" t="n"/>
      <c r="G271" s="6">
        <f>IF(E271="","",E271/12)</f>
        <v/>
      </c>
      <c r="H271" s="6">
        <f>IF(E271="","",E271/12*(1+Parametros!$B$9))</f>
        <v/>
      </c>
      <c r="I271" s="6">
        <f>IF(G271="","",G271*(Parametros!$B$7+Parametros!$B$8))</f>
        <v/>
      </c>
      <c r="J271" s="6">
        <f>IF(H271="","",H271*(Parametros!$B$7+Parametros!$B$8))</f>
        <v/>
      </c>
      <c r="K271" s="6">
        <f>IF(E271="","",E271*Parametros!$B$6*(Parametros!$B$4+Parametros!$B$5))</f>
        <v/>
      </c>
      <c r="L271" s="6">
        <f>IF(E271="","",SUM(G271:K271))</f>
        <v/>
      </c>
    </row>
    <row r="272">
      <c r="E272" s="8" t="n"/>
      <c r="G272" s="6">
        <f>IF(E272="","",E272/12)</f>
        <v/>
      </c>
      <c r="H272" s="6">
        <f>IF(E272="","",E272/12*(1+Parametros!$B$9))</f>
        <v/>
      </c>
      <c r="I272" s="6">
        <f>IF(G272="","",G272*(Parametros!$B$7+Parametros!$B$8))</f>
        <v/>
      </c>
      <c r="J272" s="6">
        <f>IF(H272="","",H272*(Parametros!$B$7+Parametros!$B$8))</f>
        <v/>
      </c>
      <c r="K272" s="6">
        <f>IF(E272="","",E272*Parametros!$B$6*(Parametros!$B$4+Parametros!$B$5))</f>
        <v/>
      </c>
      <c r="L272" s="6">
        <f>IF(E272="","",SUM(G272:K272))</f>
        <v/>
      </c>
    </row>
    <row r="273">
      <c r="E273" s="8" t="n"/>
      <c r="G273" s="6">
        <f>IF(E273="","",E273/12)</f>
        <v/>
      </c>
      <c r="H273" s="6">
        <f>IF(E273="","",E273/12*(1+Parametros!$B$9))</f>
        <v/>
      </c>
      <c r="I273" s="6">
        <f>IF(G273="","",G273*(Parametros!$B$7+Parametros!$B$8))</f>
        <v/>
      </c>
      <c r="J273" s="6">
        <f>IF(H273="","",H273*(Parametros!$B$7+Parametros!$B$8))</f>
        <v/>
      </c>
      <c r="K273" s="6">
        <f>IF(E273="","",E273*Parametros!$B$6*(Parametros!$B$4+Parametros!$B$5))</f>
        <v/>
      </c>
      <c r="L273" s="6">
        <f>IF(E273="","",SUM(G273:K273))</f>
        <v/>
      </c>
    </row>
    <row r="274">
      <c r="E274" s="8" t="n"/>
      <c r="G274" s="6">
        <f>IF(E274="","",E274/12)</f>
        <v/>
      </c>
      <c r="H274" s="6">
        <f>IF(E274="","",E274/12*(1+Parametros!$B$9))</f>
        <v/>
      </c>
      <c r="I274" s="6">
        <f>IF(G274="","",G274*(Parametros!$B$7+Parametros!$B$8))</f>
        <v/>
      </c>
      <c r="J274" s="6">
        <f>IF(H274="","",H274*(Parametros!$B$7+Parametros!$B$8))</f>
        <v/>
      </c>
      <c r="K274" s="6">
        <f>IF(E274="","",E274*Parametros!$B$6*(Parametros!$B$4+Parametros!$B$5))</f>
        <v/>
      </c>
      <c r="L274" s="6">
        <f>IF(E274="","",SUM(G274:K274))</f>
        <v/>
      </c>
    </row>
    <row r="275">
      <c r="E275" s="8" t="n"/>
      <c r="G275" s="6">
        <f>IF(E275="","",E275/12)</f>
        <v/>
      </c>
      <c r="H275" s="6">
        <f>IF(E275="","",E275/12*(1+Parametros!$B$9))</f>
        <v/>
      </c>
      <c r="I275" s="6">
        <f>IF(G275="","",G275*(Parametros!$B$7+Parametros!$B$8))</f>
        <v/>
      </c>
      <c r="J275" s="6">
        <f>IF(H275="","",H275*(Parametros!$B$7+Parametros!$B$8))</f>
        <v/>
      </c>
      <c r="K275" s="6">
        <f>IF(E275="","",E275*Parametros!$B$6*(Parametros!$B$4+Parametros!$B$5))</f>
        <v/>
      </c>
      <c r="L275" s="6">
        <f>IF(E275="","",SUM(G275:K275))</f>
        <v/>
      </c>
    </row>
    <row r="276">
      <c r="E276" s="8" t="n"/>
      <c r="G276" s="6">
        <f>IF(E276="","",E276/12)</f>
        <v/>
      </c>
      <c r="H276" s="6">
        <f>IF(E276="","",E276/12*(1+Parametros!$B$9))</f>
        <v/>
      </c>
      <c r="I276" s="6">
        <f>IF(G276="","",G276*(Parametros!$B$7+Parametros!$B$8))</f>
        <v/>
      </c>
      <c r="J276" s="6">
        <f>IF(H276="","",H276*(Parametros!$B$7+Parametros!$B$8))</f>
        <v/>
      </c>
      <c r="K276" s="6">
        <f>IF(E276="","",E276*Parametros!$B$6*(Parametros!$B$4+Parametros!$B$5))</f>
        <v/>
      </c>
      <c r="L276" s="6">
        <f>IF(E276="","",SUM(G276:K276))</f>
        <v/>
      </c>
    </row>
    <row r="277">
      <c r="E277" s="8" t="n"/>
      <c r="G277" s="6">
        <f>IF(E277="","",E277/12)</f>
        <v/>
      </c>
      <c r="H277" s="6">
        <f>IF(E277="","",E277/12*(1+Parametros!$B$9))</f>
        <v/>
      </c>
      <c r="I277" s="6">
        <f>IF(G277="","",G277*(Parametros!$B$7+Parametros!$B$8))</f>
        <v/>
      </c>
      <c r="J277" s="6">
        <f>IF(H277="","",H277*(Parametros!$B$7+Parametros!$B$8))</f>
        <v/>
      </c>
      <c r="K277" s="6">
        <f>IF(E277="","",E277*Parametros!$B$6*(Parametros!$B$4+Parametros!$B$5))</f>
        <v/>
      </c>
      <c r="L277" s="6">
        <f>IF(E277="","",SUM(G277:K277))</f>
        <v/>
      </c>
    </row>
    <row r="278">
      <c r="E278" s="8" t="n"/>
      <c r="G278" s="6">
        <f>IF(E278="","",E278/12)</f>
        <v/>
      </c>
      <c r="H278" s="6">
        <f>IF(E278="","",E278/12*(1+Parametros!$B$9))</f>
        <v/>
      </c>
      <c r="I278" s="6">
        <f>IF(G278="","",G278*(Parametros!$B$7+Parametros!$B$8))</f>
        <v/>
      </c>
      <c r="J278" s="6">
        <f>IF(H278="","",H278*(Parametros!$B$7+Parametros!$B$8))</f>
        <v/>
      </c>
      <c r="K278" s="6">
        <f>IF(E278="","",E278*Parametros!$B$6*(Parametros!$B$4+Parametros!$B$5))</f>
        <v/>
      </c>
      <c r="L278" s="6">
        <f>IF(E278="","",SUM(G278:K278))</f>
        <v/>
      </c>
    </row>
    <row r="279">
      <c r="E279" s="8" t="n"/>
      <c r="G279" s="6">
        <f>IF(E279="","",E279/12)</f>
        <v/>
      </c>
      <c r="H279" s="6">
        <f>IF(E279="","",E279/12*(1+Parametros!$B$9))</f>
        <v/>
      </c>
      <c r="I279" s="6">
        <f>IF(G279="","",G279*(Parametros!$B$7+Parametros!$B$8))</f>
        <v/>
      </c>
      <c r="J279" s="6">
        <f>IF(H279="","",H279*(Parametros!$B$7+Parametros!$B$8))</f>
        <v/>
      </c>
      <c r="K279" s="6">
        <f>IF(E279="","",E279*Parametros!$B$6*(Parametros!$B$4+Parametros!$B$5))</f>
        <v/>
      </c>
      <c r="L279" s="6">
        <f>IF(E279="","",SUM(G279:K279))</f>
        <v/>
      </c>
    </row>
    <row r="280">
      <c r="E280" s="8" t="n"/>
      <c r="G280" s="6">
        <f>IF(E280="","",E280/12)</f>
        <v/>
      </c>
      <c r="H280" s="6">
        <f>IF(E280="","",E280/12*(1+Parametros!$B$9))</f>
        <v/>
      </c>
      <c r="I280" s="6">
        <f>IF(G280="","",G280*(Parametros!$B$7+Parametros!$B$8))</f>
        <v/>
      </c>
      <c r="J280" s="6">
        <f>IF(H280="","",H280*(Parametros!$B$7+Parametros!$B$8))</f>
        <v/>
      </c>
      <c r="K280" s="6">
        <f>IF(E280="","",E280*Parametros!$B$6*(Parametros!$B$4+Parametros!$B$5))</f>
        <v/>
      </c>
      <c r="L280" s="6">
        <f>IF(E280="","",SUM(G280:K280))</f>
        <v/>
      </c>
    </row>
    <row r="281">
      <c r="E281" s="8" t="n"/>
      <c r="G281" s="6">
        <f>IF(E281="","",E281/12)</f>
        <v/>
      </c>
      <c r="H281" s="6">
        <f>IF(E281="","",E281/12*(1+Parametros!$B$9))</f>
        <v/>
      </c>
      <c r="I281" s="6">
        <f>IF(G281="","",G281*(Parametros!$B$7+Parametros!$B$8))</f>
        <v/>
      </c>
      <c r="J281" s="6">
        <f>IF(H281="","",H281*(Parametros!$B$7+Parametros!$B$8))</f>
        <v/>
      </c>
      <c r="K281" s="6">
        <f>IF(E281="","",E281*Parametros!$B$6*(Parametros!$B$4+Parametros!$B$5))</f>
        <v/>
      </c>
      <c r="L281" s="6">
        <f>IF(E281="","",SUM(G281:K281))</f>
        <v/>
      </c>
    </row>
    <row r="282">
      <c r="E282" s="8" t="n"/>
      <c r="G282" s="6">
        <f>IF(E282="","",E282/12)</f>
        <v/>
      </c>
      <c r="H282" s="6">
        <f>IF(E282="","",E282/12*(1+Parametros!$B$9))</f>
        <v/>
      </c>
      <c r="I282" s="6">
        <f>IF(G282="","",G282*(Parametros!$B$7+Parametros!$B$8))</f>
        <v/>
      </c>
      <c r="J282" s="6">
        <f>IF(H282="","",H282*(Parametros!$B$7+Parametros!$B$8))</f>
        <v/>
      </c>
      <c r="K282" s="6">
        <f>IF(E282="","",E282*Parametros!$B$6*(Parametros!$B$4+Parametros!$B$5))</f>
        <v/>
      </c>
      <c r="L282" s="6">
        <f>IF(E282="","",SUM(G282:K282))</f>
        <v/>
      </c>
    </row>
    <row r="283">
      <c r="E283" s="8" t="n"/>
      <c r="G283" s="6">
        <f>IF(E283="","",E283/12)</f>
        <v/>
      </c>
      <c r="H283" s="6">
        <f>IF(E283="","",E283/12*(1+Parametros!$B$9))</f>
        <v/>
      </c>
      <c r="I283" s="6">
        <f>IF(G283="","",G283*(Parametros!$B$7+Parametros!$B$8))</f>
        <v/>
      </c>
      <c r="J283" s="6">
        <f>IF(H283="","",H283*(Parametros!$B$7+Parametros!$B$8))</f>
        <v/>
      </c>
      <c r="K283" s="6">
        <f>IF(E283="","",E283*Parametros!$B$6*(Parametros!$B$4+Parametros!$B$5))</f>
        <v/>
      </c>
      <c r="L283" s="6">
        <f>IF(E283="","",SUM(G283:K283))</f>
        <v/>
      </c>
    </row>
    <row r="284">
      <c r="E284" s="8" t="n"/>
      <c r="G284" s="6">
        <f>IF(E284="","",E284/12)</f>
        <v/>
      </c>
      <c r="H284" s="6">
        <f>IF(E284="","",E284/12*(1+Parametros!$B$9))</f>
        <v/>
      </c>
      <c r="I284" s="6">
        <f>IF(G284="","",G284*(Parametros!$B$7+Parametros!$B$8))</f>
        <v/>
      </c>
      <c r="J284" s="6">
        <f>IF(H284="","",H284*(Parametros!$B$7+Parametros!$B$8))</f>
        <v/>
      </c>
      <c r="K284" s="6">
        <f>IF(E284="","",E284*Parametros!$B$6*(Parametros!$B$4+Parametros!$B$5))</f>
        <v/>
      </c>
      <c r="L284" s="6">
        <f>IF(E284="","",SUM(G284:K284))</f>
        <v/>
      </c>
    </row>
    <row r="285">
      <c r="E285" s="8" t="n"/>
      <c r="G285" s="6">
        <f>IF(E285="","",E285/12)</f>
        <v/>
      </c>
      <c r="H285" s="6">
        <f>IF(E285="","",E285/12*(1+Parametros!$B$9))</f>
        <v/>
      </c>
      <c r="I285" s="6">
        <f>IF(G285="","",G285*(Parametros!$B$7+Parametros!$B$8))</f>
        <v/>
      </c>
      <c r="J285" s="6">
        <f>IF(H285="","",H285*(Parametros!$B$7+Parametros!$B$8))</f>
        <v/>
      </c>
      <c r="K285" s="6">
        <f>IF(E285="","",E285*Parametros!$B$6*(Parametros!$B$4+Parametros!$B$5))</f>
        <v/>
      </c>
      <c r="L285" s="6">
        <f>IF(E285="","",SUM(G285:K285))</f>
        <v/>
      </c>
    </row>
    <row r="286">
      <c r="E286" s="8" t="n"/>
      <c r="G286" s="6">
        <f>IF(E286="","",E286/12)</f>
        <v/>
      </c>
      <c r="H286" s="6">
        <f>IF(E286="","",E286/12*(1+Parametros!$B$9))</f>
        <v/>
      </c>
      <c r="I286" s="6">
        <f>IF(G286="","",G286*(Parametros!$B$7+Parametros!$B$8))</f>
        <v/>
      </c>
      <c r="J286" s="6">
        <f>IF(H286="","",H286*(Parametros!$B$7+Parametros!$B$8))</f>
        <v/>
      </c>
      <c r="K286" s="6">
        <f>IF(E286="","",E286*Parametros!$B$6*(Parametros!$B$4+Parametros!$B$5))</f>
        <v/>
      </c>
      <c r="L286" s="6">
        <f>IF(E286="","",SUM(G286:K286))</f>
        <v/>
      </c>
    </row>
    <row r="287">
      <c r="E287" s="8" t="n"/>
      <c r="G287" s="6">
        <f>IF(E287="","",E287/12)</f>
        <v/>
      </c>
      <c r="H287" s="6">
        <f>IF(E287="","",E287/12*(1+Parametros!$B$9))</f>
        <v/>
      </c>
      <c r="I287" s="6">
        <f>IF(G287="","",G287*(Parametros!$B$7+Parametros!$B$8))</f>
        <v/>
      </c>
      <c r="J287" s="6">
        <f>IF(H287="","",H287*(Parametros!$B$7+Parametros!$B$8))</f>
        <v/>
      </c>
      <c r="K287" s="6">
        <f>IF(E287="","",E287*Parametros!$B$6*(Parametros!$B$4+Parametros!$B$5))</f>
        <v/>
      </c>
      <c r="L287" s="6">
        <f>IF(E287="","",SUM(G287:K287))</f>
        <v/>
      </c>
    </row>
    <row r="288">
      <c r="E288" s="8" t="n"/>
      <c r="G288" s="6">
        <f>IF(E288="","",E288/12)</f>
        <v/>
      </c>
      <c r="H288" s="6">
        <f>IF(E288="","",E288/12*(1+Parametros!$B$9))</f>
        <v/>
      </c>
      <c r="I288" s="6">
        <f>IF(G288="","",G288*(Parametros!$B$7+Parametros!$B$8))</f>
        <v/>
      </c>
      <c r="J288" s="6">
        <f>IF(H288="","",H288*(Parametros!$B$7+Parametros!$B$8))</f>
        <v/>
      </c>
      <c r="K288" s="6">
        <f>IF(E288="","",E288*Parametros!$B$6*(Parametros!$B$4+Parametros!$B$5))</f>
        <v/>
      </c>
      <c r="L288" s="6">
        <f>IF(E288="","",SUM(G288:K288))</f>
        <v/>
      </c>
    </row>
    <row r="289">
      <c r="E289" s="8" t="n"/>
      <c r="G289" s="6">
        <f>IF(E289="","",E289/12)</f>
        <v/>
      </c>
      <c r="H289" s="6">
        <f>IF(E289="","",E289/12*(1+Parametros!$B$9))</f>
        <v/>
      </c>
      <c r="I289" s="6">
        <f>IF(G289="","",G289*(Parametros!$B$7+Parametros!$B$8))</f>
        <v/>
      </c>
      <c r="J289" s="6">
        <f>IF(H289="","",H289*(Parametros!$B$7+Parametros!$B$8))</f>
        <v/>
      </c>
      <c r="K289" s="6">
        <f>IF(E289="","",E289*Parametros!$B$6*(Parametros!$B$4+Parametros!$B$5))</f>
        <v/>
      </c>
      <c r="L289" s="6">
        <f>IF(E289="","",SUM(G289:K289))</f>
        <v/>
      </c>
    </row>
    <row r="290">
      <c r="E290" s="8" t="n"/>
      <c r="G290" s="6">
        <f>IF(E290="","",E290/12)</f>
        <v/>
      </c>
      <c r="H290" s="6">
        <f>IF(E290="","",E290/12*(1+Parametros!$B$9))</f>
        <v/>
      </c>
      <c r="I290" s="6">
        <f>IF(G290="","",G290*(Parametros!$B$7+Parametros!$B$8))</f>
        <v/>
      </c>
      <c r="J290" s="6">
        <f>IF(H290="","",H290*(Parametros!$B$7+Parametros!$B$8))</f>
        <v/>
      </c>
      <c r="K290" s="6">
        <f>IF(E290="","",E290*Parametros!$B$6*(Parametros!$B$4+Parametros!$B$5))</f>
        <v/>
      </c>
      <c r="L290" s="6">
        <f>IF(E290="","",SUM(G290:K290))</f>
        <v/>
      </c>
    </row>
    <row r="291">
      <c r="E291" s="8" t="n"/>
      <c r="G291" s="6">
        <f>IF(E291="","",E291/12)</f>
        <v/>
      </c>
      <c r="H291" s="6">
        <f>IF(E291="","",E291/12*(1+Parametros!$B$9))</f>
        <v/>
      </c>
      <c r="I291" s="6">
        <f>IF(G291="","",G291*(Parametros!$B$7+Parametros!$B$8))</f>
        <v/>
      </c>
      <c r="J291" s="6">
        <f>IF(H291="","",H291*(Parametros!$B$7+Parametros!$B$8))</f>
        <v/>
      </c>
      <c r="K291" s="6">
        <f>IF(E291="","",E291*Parametros!$B$6*(Parametros!$B$4+Parametros!$B$5))</f>
        <v/>
      </c>
      <c r="L291" s="6">
        <f>IF(E291="","",SUM(G291:K291))</f>
        <v/>
      </c>
    </row>
    <row r="292">
      <c r="E292" s="8" t="n"/>
      <c r="G292" s="6">
        <f>IF(E292="","",E292/12)</f>
        <v/>
      </c>
      <c r="H292" s="6">
        <f>IF(E292="","",E292/12*(1+Parametros!$B$9))</f>
        <v/>
      </c>
      <c r="I292" s="6">
        <f>IF(G292="","",G292*(Parametros!$B$7+Parametros!$B$8))</f>
        <v/>
      </c>
      <c r="J292" s="6">
        <f>IF(H292="","",H292*(Parametros!$B$7+Parametros!$B$8))</f>
        <v/>
      </c>
      <c r="K292" s="6">
        <f>IF(E292="","",E292*Parametros!$B$6*(Parametros!$B$4+Parametros!$B$5))</f>
        <v/>
      </c>
      <c r="L292" s="6">
        <f>IF(E292="","",SUM(G292:K292))</f>
        <v/>
      </c>
    </row>
    <row r="293">
      <c r="E293" s="8" t="n"/>
      <c r="G293" s="6">
        <f>IF(E293="","",E293/12)</f>
        <v/>
      </c>
      <c r="H293" s="6">
        <f>IF(E293="","",E293/12*(1+Parametros!$B$9))</f>
        <v/>
      </c>
      <c r="I293" s="6">
        <f>IF(G293="","",G293*(Parametros!$B$7+Parametros!$B$8))</f>
        <v/>
      </c>
      <c r="J293" s="6">
        <f>IF(H293="","",H293*(Parametros!$B$7+Parametros!$B$8))</f>
        <v/>
      </c>
      <c r="K293" s="6">
        <f>IF(E293="","",E293*Parametros!$B$6*(Parametros!$B$4+Parametros!$B$5))</f>
        <v/>
      </c>
      <c r="L293" s="6">
        <f>IF(E293="","",SUM(G293:K293))</f>
        <v/>
      </c>
    </row>
    <row r="294">
      <c r="E294" s="8" t="n"/>
      <c r="G294" s="6">
        <f>IF(E294="","",E294/12)</f>
        <v/>
      </c>
      <c r="H294" s="6">
        <f>IF(E294="","",E294/12*(1+Parametros!$B$9))</f>
        <v/>
      </c>
      <c r="I294" s="6">
        <f>IF(G294="","",G294*(Parametros!$B$7+Parametros!$B$8))</f>
        <v/>
      </c>
      <c r="J294" s="6">
        <f>IF(H294="","",H294*(Parametros!$B$7+Parametros!$B$8))</f>
        <v/>
      </c>
      <c r="K294" s="6">
        <f>IF(E294="","",E294*Parametros!$B$6*(Parametros!$B$4+Parametros!$B$5))</f>
        <v/>
      </c>
      <c r="L294" s="6">
        <f>IF(E294="","",SUM(G294:K294))</f>
        <v/>
      </c>
    </row>
    <row r="295">
      <c r="E295" s="8" t="n"/>
      <c r="G295" s="6">
        <f>IF(E295="","",E295/12)</f>
        <v/>
      </c>
      <c r="H295" s="6">
        <f>IF(E295="","",E295/12*(1+Parametros!$B$9))</f>
        <v/>
      </c>
      <c r="I295" s="6">
        <f>IF(G295="","",G295*(Parametros!$B$7+Parametros!$B$8))</f>
        <v/>
      </c>
      <c r="J295" s="6">
        <f>IF(H295="","",H295*(Parametros!$B$7+Parametros!$B$8))</f>
        <v/>
      </c>
      <c r="K295" s="6">
        <f>IF(E295="","",E295*Parametros!$B$6*(Parametros!$B$4+Parametros!$B$5))</f>
        <v/>
      </c>
      <c r="L295" s="6">
        <f>IF(E295="","",SUM(G295:K295))</f>
        <v/>
      </c>
    </row>
    <row r="296">
      <c r="E296" s="8" t="n"/>
      <c r="G296" s="6">
        <f>IF(E296="","",E296/12)</f>
        <v/>
      </c>
      <c r="H296" s="6">
        <f>IF(E296="","",E296/12*(1+Parametros!$B$9))</f>
        <v/>
      </c>
      <c r="I296" s="6">
        <f>IF(G296="","",G296*(Parametros!$B$7+Parametros!$B$8))</f>
        <v/>
      </c>
      <c r="J296" s="6">
        <f>IF(H296="","",H296*(Parametros!$B$7+Parametros!$B$8))</f>
        <v/>
      </c>
      <c r="K296" s="6">
        <f>IF(E296="","",E296*Parametros!$B$6*(Parametros!$B$4+Parametros!$B$5))</f>
        <v/>
      </c>
      <c r="L296" s="6">
        <f>IF(E296="","",SUM(G296:K296))</f>
        <v/>
      </c>
    </row>
    <row r="297">
      <c r="E297" s="8" t="n"/>
      <c r="G297" s="6">
        <f>IF(E297="","",E297/12)</f>
        <v/>
      </c>
      <c r="H297" s="6">
        <f>IF(E297="","",E297/12*(1+Parametros!$B$9))</f>
        <v/>
      </c>
      <c r="I297" s="6">
        <f>IF(G297="","",G297*(Parametros!$B$7+Parametros!$B$8))</f>
        <v/>
      </c>
      <c r="J297" s="6">
        <f>IF(H297="","",H297*(Parametros!$B$7+Parametros!$B$8))</f>
        <v/>
      </c>
      <c r="K297" s="6">
        <f>IF(E297="","",E297*Parametros!$B$6*(Parametros!$B$4+Parametros!$B$5))</f>
        <v/>
      </c>
      <c r="L297" s="6">
        <f>IF(E297="","",SUM(G297:K297))</f>
        <v/>
      </c>
    </row>
    <row r="298">
      <c r="E298" s="8" t="n"/>
      <c r="G298" s="6">
        <f>IF(E298="","",E298/12)</f>
        <v/>
      </c>
      <c r="H298" s="6">
        <f>IF(E298="","",E298/12*(1+Parametros!$B$9))</f>
        <v/>
      </c>
      <c r="I298" s="6">
        <f>IF(G298="","",G298*(Parametros!$B$7+Parametros!$B$8))</f>
        <v/>
      </c>
      <c r="J298" s="6">
        <f>IF(H298="","",H298*(Parametros!$B$7+Parametros!$B$8))</f>
        <v/>
      </c>
      <c r="K298" s="6">
        <f>IF(E298="","",E298*Parametros!$B$6*(Parametros!$B$4+Parametros!$B$5))</f>
        <v/>
      </c>
      <c r="L298" s="6">
        <f>IF(E298="","",SUM(G298:K298))</f>
        <v/>
      </c>
    </row>
    <row r="299">
      <c r="E299" s="8" t="n"/>
      <c r="G299" s="6">
        <f>IF(E299="","",E299/12)</f>
        <v/>
      </c>
      <c r="H299" s="6">
        <f>IF(E299="","",E299/12*(1+Parametros!$B$9))</f>
        <v/>
      </c>
      <c r="I299" s="6">
        <f>IF(G299="","",G299*(Parametros!$B$7+Parametros!$B$8))</f>
        <v/>
      </c>
      <c r="J299" s="6">
        <f>IF(H299="","",H299*(Parametros!$B$7+Parametros!$B$8))</f>
        <v/>
      </c>
      <c r="K299" s="6">
        <f>IF(E299="","",E299*Parametros!$B$6*(Parametros!$B$4+Parametros!$B$5))</f>
        <v/>
      </c>
      <c r="L299" s="6">
        <f>IF(E299="","",SUM(G299:K299))</f>
        <v/>
      </c>
    </row>
    <row r="300">
      <c r="E300" s="8" t="n"/>
      <c r="G300" s="6">
        <f>IF(E300="","",E300/12)</f>
        <v/>
      </c>
      <c r="H300" s="6">
        <f>IF(E300="","",E300/12*(1+Parametros!$B$9))</f>
        <v/>
      </c>
      <c r="I300" s="6">
        <f>IF(G300="","",G300*(Parametros!$B$7+Parametros!$B$8))</f>
        <v/>
      </c>
      <c r="J300" s="6">
        <f>IF(H300="","",H300*(Parametros!$B$7+Parametros!$B$8))</f>
        <v/>
      </c>
      <c r="K300" s="6">
        <f>IF(E300="","",E300*Parametros!$B$6*(Parametros!$B$4+Parametros!$B$5))</f>
        <v/>
      </c>
      <c r="L300" s="6">
        <f>IF(E300="","",SUM(G300:K300))</f>
        <v/>
      </c>
    </row>
    <row r="301">
      <c r="E301" s="8" t="n"/>
      <c r="G301" s="6">
        <f>IF(E301="","",E301/12)</f>
        <v/>
      </c>
      <c r="H301" s="6">
        <f>IF(E301="","",E301/12*(1+Parametros!$B$9))</f>
        <v/>
      </c>
      <c r="I301" s="6">
        <f>IF(G301="","",G301*(Parametros!$B$7+Parametros!$B$8))</f>
        <v/>
      </c>
      <c r="J301" s="6">
        <f>IF(H301="","",H301*(Parametros!$B$7+Parametros!$B$8))</f>
        <v/>
      </c>
      <c r="K301" s="6">
        <f>IF(E301="","",E301*Parametros!$B$6*(Parametros!$B$4+Parametros!$B$5))</f>
        <v/>
      </c>
      <c r="L301" s="6">
        <f>IF(E301="","",SUM(G301:K301))</f>
        <v/>
      </c>
    </row>
    <row r="302">
      <c r="E302" s="8" t="n"/>
      <c r="G302" s="6">
        <f>IF(E302="","",E302/12)</f>
        <v/>
      </c>
      <c r="H302" s="6">
        <f>IF(E302="","",E302/12*(1+Parametros!$B$9))</f>
        <v/>
      </c>
      <c r="I302" s="6">
        <f>IF(G302="","",G302*(Parametros!$B$7+Parametros!$B$8))</f>
        <v/>
      </c>
      <c r="J302" s="6">
        <f>IF(H302="","",H302*(Parametros!$B$7+Parametros!$B$8))</f>
        <v/>
      </c>
      <c r="K302" s="6">
        <f>IF(E302="","",E302*Parametros!$B$6*(Parametros!$B$4+Parametros!$B$5))</f>
        <v/>
      </c>
      <c r="L302" s="6">
        <f>IF(E302="","",SUM(G302:K302))</f>
        <v/>
      </c>
    </row>
    <row r="303">
      <c r="E303" s="8" t="n"/>
      <c r="G303" s="6">
        <f>IF(E303="","",E303/12)</f>
        <v/>
      </c>
      <c r="H303" s="6">
        <f>IF(E303="","",E303/12*(1+Parametros!$B$9))</f>
        <v/>
      </c>
      <c r="I303" s="6">
        <f>IF(G303="","",G303*(Parametros!$B$7+Parametros!$B$8))</f>
        <v/>
      </c>
      <c r="J303" s="6">
        <f>IF(H303="","",H303*(Parametros!$B$7+Parametros!$B$8))</f>
        <v/>
      </c>
      <c r="K303" s="6">
        <f>IF(E303="","",E303*Parametros!$B$6*(Parametros!$B$4+Parametros!$B$5))</f>
        <v/>
      </c>
      <c r="L303" s="6">
        <f>IF(E303="","",SUM(G303:K303))</f>
        <v/>
      </c>
    </row>
    <row r="304">
      <c r="E304" s="8" t="n"/>
      <c r="G304" s="6">
        <f>IF(E304="","",E304/12)</f>
        <v/>
      </c>
      <c r="H304" s="6">
        <f>IF(E304="","",E304/12*(1+Parametros!$B$9))</f>
        <v/>
      </c>
      <c r="I304" s="6">
        <f>IF(G304="","",G304*(Parametros!$B$7+Parametros!$B$8))</f>
        <v/>
      </c>
      <c r="J304" s="6">
        <f>IF(H304="","",H304*(Parametros!$B$7+Parametros!$B$8))</f>
        <v/>
      </c>
      <c r="K304" s="6">
        <f>IF(E304="","",E304*Parametros!$B$6*(Parametros!$B$4+Parametros!$B$5))</f>
        <v/>
      </c>
      <c r="L304" s="6">
        <f>IF(E304="","",SUM(G304:K304))</f>
        <v/>
      </c>
    </row>
    <row r="305">
      <c r="E305" s="8" t="n"/>
      <c r="G305" s="6">
        <f>IF(E305="","",E305/12)</f>
        <v/>
      </c>
      <c r="H305" s="6">
        <f>IF(E305="","",E305/12*(1+Parametros!$B$9))</f>
        <v/>
      </c>
      <c r="I305" s="6">
        <f>IF(G305="","",G305*(Parametros!$B$7+Parametros!$B$8))</f>
        <v/>
      </c>
      <c r="J305" s="6">
        <f>IF(H305="","",H305*(Parametros!$B$7+Parametros!$B$8))</f>
        <v/>
      </c>
      <c r="K305" s="6">
        <f>IF(E305="","",E305*Parametros!$B$6*(Parametros!$B$4+Parametros!$B$5))</f>
        <v/>
      </c>
      <c r="L305" s="6">
        <f>IF(E305="","",SUM(G305:K305))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1" customWidth="1" min="4" max="4"/>
    <col width="22" customWidth="1" min="5" max="5"/>
    <col width="16" customWidth="1" min="6" max="6"/>
    <col width="21" customWidth="1" min="7" max="7"/>
    <col width="13" customWidth="1" min="8" max="8"/>
  </cols>
  <sheetData>
    <row r="1">
      <c r="A1" s="2" t="inlineStr">
        <is>
          <t>Mês/Ano</t>
        </is>
      </c>
      <c r="B1" s="2" t="inlineStr">
        <is>
          <t>Nº Contrato</t>
        </is>
      </c>
      <c r="C1" s="2" t="inlineStr">
        <is>
          <t>Faturamento Bruto (R$)</t>
        </is>
      </c>
      <c r="D1" s="2" t="inlineStr">
        <is>
          <t>Parcela Autônoma (R$)</t>
        </is>
      </c>
      <c r="E1" s="2" t="inlineStr">
        <is>
          <t>Provisão Calculada (R$)</t>
        </is>
      </c>
      <c r="F1" s="2" t="inlineStr">
        <is>
          <t>Diferença (R$)</t>
        </is>
      </c>
      <c r="G1" s="2" t="inlineStr">
        <is>
          <t>Depósito Efetivado (R$)</t>
        </is>
      </c>
      <c r="H1" s="2" t="inlineStr">
        <is>
          <t>Situação</t>
        </is>
      </c>
    </row>
    <row r="2">
      <c r="A2" s="3" t="inlineStr">
        <is>
          <t>jan/2026</t>
        </is>
      </c>
      <c r="B2" s="3" t="inlineStr">
        <is>
          <t>001/2025</t>
        </is>
      </c>
      <c r="C2" s="6" t="n">
        <v>98000</v>
      </c>
      <c r="D2" s="6">
        <f>IF(C2="","",C2*IFERROR(VLOOKUP(B2,Contratos!$A:$G,7,0),0))</f>
        <v/>
      </c>
      <c r="E2" s="6">
        <f>IF(B2="","",SUMIF(Empregados!$A:$A,B2,Empregados!$L:$L))</f>
        <v/>
      </c>
      <c r="F2" s="6">
        <f>IF(C2="","",C2-D2)</f>
        <v/>
      </c>
      <c r="G2" s="6" t="n">
        <v>11500</v>
      </c>
      <c r="H2" s="3">
        <f>IF(E2="","",IF(G2="","EM ATRASO",IF(G2&gt;=E2,"CONFORME","EM ATRASO")))</f>
        <v/>
      </c>
    </row>
    <row r="3">
      <c r="A3" s="3" t="inlineStr">
        <is>
          <t>jan/2026</t>
        </is>
      </c>
      <c r="B3" s="3" t="inlineStr">
        <is>
          <t>002/2025</t>
        </is>
      </c>
      <c r="C3" s="6" t="n">
        <v>42000</v>
      </c>
      <c r="D3" s="6">
        <f>IF(C3="","",C3*IFERROR(VLOOKUP(B3,Contratos!$A:$G,7,0),0))</f>
        <v/>
      </c>
      <c r="E3" s="6">
        <f>IF(B3="","",SUMIF(Empregados!$A:$A,B3,Empregados!$L:$L))</f>
        <v/>
      </c>
      <c r="F3" s="6">
        <f>IF(C3="","",C3-D3)</f>
        <v/>
      </c>
      <c r="G3" s="6" t="n">
        <v>4200</v>
      </c>
      <c r="H3" s="3">
        <f>IF(E3="","",IF(G3="","EM ATRASO",IF(G3&gt;=E3,"CONFORME","EM ATRASO")))</f>
        <v/>
      </c>
    </row>
    <row r="4">
      <c r="C4" s="8" t="n"/>
      <c r="D4" s="6">
        <f>IF(C4="","",C4*IFERROR(VLOOKUP(B4,Contratos!$A:$G,7,0),0))</f>
        <v/>
      </c>
      <c r="E4" s="6">
        <f>IF(B4="","",SUMIF(Empregados!$A:$A,B4,Empregados!$L:$L))</f>
        <v/>
      </c>
      <c r="F4" s="6">
        <f>IF(C4="","",C4-D4)</f>
        <v/>
      </c>
      <c r="G4" s="8" t="n"/>
      <c r="H4" s="3">
        <f>IF(E4="","",IF(G4="","EM ATRASO",IF(G4&gt;=E4,"CONFORME","EM ATRASO")))</f>
        <v/>
      </c>
    </row>
    <row r="5">
      <c r="C5" s="8" t="n"/>
      <c r="D5" s="6">
        <f>IF(C5="","",C5*IFERROR(VLOOKUP(B5,Contratos!$A:$G,7,0),0))</f>
        <v/>
      </c>
      <c r="E5" s="6">
        <f>IF(B5="","",SUMIF(Empregados!$A:$A,B5,Empregados!$L:$L))</f>
        <v/>
      </c>
      <c r="F5" s="6">
        <f>IF(C5="","",C5-D5)</f>
        <v/>
      </c>
      <c r="G5" s="8" t="n"/>
      <c r="H5" s="3">
        <f>IF(E5="","",IF(G5="","EM ATRASO",IF(G5&gt;=E5,"CONFORME","EM ATRASO")))</f>
        <v/>
      </c>
    </row>
    <row r="6">
      <c r="C6" s="8" t="n"/>
      <c r="D6" s="6">
        <f>IF(C6="","",C6*IFERROR(VLOOKUP(B6,Contratos!$A:$G,7,0),0))</f>
        <v/>
      </c>
      <c r="E6" s="6">
        <f>IF(B6="","",SUMIF(Empregados!$A:$A,B6,Empregados!$L:$L))</f>
        <v/>
      </c>
      <c r="F6" s="6">
        <f>IF(C6="","",C6-D6)</f>
        <v/>
      </c>
      <c r="G6" s="8" t="n"/>
      <c r="H6" s="3">
        <f>IF(E6="","",IF(G6="","EM ATRASO",IF(G6&gt;=E6,"CONFORME","EM ATRASO")))</f>
        <v/>
      </c>
    </row>
    <row r="7">
      <c r="C7" s="8" t="n"/>
      <c r="D7" s="6">
        <f>IF(C7="","",C7*IFERROR(VLOOKUP(B7,Contratos!$A:$G,7,0),0))</f>
        <v/>
      </c>
      <c r="E7" s="6">
        <f>IF(B7="","",SUMIF(Empregados!$A:$A,B7,Empregados!$L:$L))</f>
        <v/>
      </c>
      <c r="F7" s="6">
        <f>IF(C7="","",C7-D7)</f>
        <v/>
      </c>
      <c r="G7" s="8" t="n"/>
      <c r="H7" s="3">
        <f>IF(E7="","",IF(G7="","EM ATRASO",IF(G7&gt;=E7,"CONFORME","EM ATRASO")))</f>
        <v/>
      </c>
    </row>
    <row r="8">
      <c r="C8" s="8" t="n"/>
      <c r="D8" s="6">
        <f>IF(C8="","",C8*IFERROR(VLOOKUP(B8,Contratos!$A:$G,7,0),0))</f>
        <v/>
      </c>
      <c r="E8" s="6">
        <f>IF(B8="","",SUMIF(Empregados!$A:$A,B8,Empregados!$L:$L))</f>
        <v/>
      </c>
      <c r="F8" s="6">
        <f>IF(C8="","",C8-D8)</f>
        <v/>
      </c>
      <c r="G8" s="8" t="n"/>
      <c r="H8" s="3">
        <f>IF(E8="","",IF(G8="","EM ATRASO",IF(G8&gt;=E8,"CONFORME","EM ATRASO")))</f>
        <v/>
      </c>
    </row>
    <row r="9">
      <c r="C9" s="8" t="n"/>
      <c r="D9" s="6">
        <f>IF(C9="","",C9*IFERROR(VLOOKUP(B9,Contratos!$A:$G,7,0),0))</f>
        <v/>
      </c>
      <c r="E9" s="6">
        <f>IF(B9="","",SUMIF(Empregados!$A:$A,B9,Empregados!$L:$L))</f>
        <v/>
      </c>
      <c r="F9" s="6">
        <f>IF(C9="","",C9-D9)</f>
        <v/>
      </c>
      <c r="G9" s="8" t="n"/>
      <c r="H9" s="3">
        <f>IF(E9="","",IF(G9="","EM ATRASO",IF(G9&gt;=E9,"CONFORME","EM ATRASO")))</f>
        <v/>
      </c>
    </row>
    <row r="10">
      <c r="C10" s="8" t="n"/>
      <c r="D10" s="6">
        <f>IF(C10="","",C10*IFERROR(VLOOKUP(B10,Contratos!$A:$G,7,0),0))</f>
        <v/>
      </c>
      <c r="E10" s="6">
        <f>IF(B10="","",SUMIF(Empregados!$A:$A,B10,Empregados!$L:$L))</f>
        <v/>
      </c>
      <c r="F10" s="6">
        <f>IF(C10="","",C10-D10)</f>
        <v/>
      </c>
      <c r="G10" s="8" t="n"/>
      <c r="H10" s="3">
        <f>IF(E10="","",IF(G10="","EM ATRASO",IF(G10&gt;=E10,"CONFORME","EM ATRASO")))</f>
        <v/>
      </c>
    </row>
    <row r="11">
      <c r="C11" s="8" t="n"/>
      <c r="D11" s="6">
        <f>IF(C11="","",C11*IFERROR(VLOOKUP(B11,Contratos!$A:$G,7,0),0))</f>
        <v/>
      </c>
      <c r="E11" s="6">
        <f>IF(B11="","",SUMIF(Empregados!$A:$A,B11,Empregados!$L:$L))</f>
        <v/>
      </c>
      <c r="F11" s="6">
        <f>IF(C11="","",C11-D11)</f>
        <v/>
      </c>
      <c r="G11" s="8" t="n"/>
      <c r="H11" s="3">
        <f>IF(E11="","",IF(G11="","EM ATRASO",IF(G11&gt;=E11,"CONFORME","EM ATRASO")))</f>
        <v/>
      </c>
    </row>
    <row r="12">
      <c r="C12" s="8" t="n"/>
      <c r="D12" s="6">
        <f>IF(C12="","",C12*IFERROR(VLOOKUP(B12,Contratos!$A:$G,7,0),0))</f>
        <v/>
      </c>
      <c r="E12" s="6">
        <f>IF(B12="","",SUMIF(Empregados!$A:$A,B12,Empregados!$L:$L))</f>
        <v/>
      </c>
      <c r="F12" s="6">
        <f>IF(C12="","",C12-D12)</f>
        <v/>
      </c>
      <c r="G12" s="8" t="n"/>
      <c r="H12" s="3">
        <f>IF(E12="","",IF(G12="","EM ATRASO",IF(G12&gt;=E12,"CONFORME","EM ATRASO")))</f>
        <v/>
      </c>
    </row>
    <row r="13">
      <c r="C13" s="8" t="n"/>
      <c r="D13" s="6">
        <f>IF(C13="","",C13*IFERROR(VLOOKUP(B13,Contratos!$A:$G,7,0),0))</f>
        <v/>
      </c>
      <c r="E13" s="6">
        <f>IF(B13="","",SUMIF(Empregados!$A:$A,B13,Empregados!$L:$L))</f>
        <v/>
      </c>
      <c r="F13" s="6">
        <f>IF(C13="","",C13-D13)</f>
        <v/>
      </c>
      <c r="G13" s="8" t="n"/>
      <c r="H13" s="3">
        <f>IF(E13="","",IF(G13="","EM ATRASO",IF(G13&gt;=E13,"CONFORME","EM ATRASO")))</f>
        <v/>
      </c>
    </row>
    <row r="14">
      <c r="C14" s="8" t="n"/>
      <c r="D14" s="6">
        <f>IF(C14="","",C14*IFERROR(VLOOKUP(B14,Contratos!$A:$G,7,0),0))</f>
        <v/>
      </c>
      <c r="E14" s="6">
        <f>IF(B14="","",SUMIF(Empregados!$A:$A,B14,Empregados!$L:$L))</f>
        <v/>
      </c>
      <c r="F14" s="6">
        <f>IF(C14="","",C14-D14)</f>
        <v/>
      </c>
      <c r="G14" s="8" t="n"/>
      <c r="H14" s="3">
        <f>IF(E14="","",IF(G14="","EM ATRASO",IF(G14&gt;=E14,"CONFORME","EM ATRASO")))</f>
        <v/>
      </c>
    </row>
    <row r="15">
      <c r="C15" s="8" t="n"/>
      <c r="D15" s="6">
        <f>IF(C15="","",C15*IFERROR(VLOOKUP(B15,Contratos!$A:$G,7,0),0))</f>
        <v/>
      </c>
      <c r="E15" s="6">
        <f>IF(B15="","",SUMIF(Empregados!$A:$A,B15,Empregados!$L:$L))</f>
        <v/>
      </c>
      <c r="F15" s="6">
        <f>IF(C15="","",C15-D15)</f>
        <v/>
      </c>
      <c r="G15" s="8" t="n"/>
      <c r="H15" s="3">
        <f>IF(E15="","",IF(G15="","EM ATRASO",IF(G15&gt;=E15,"CONFORME","EM ATRASO")))</f>
        <v/>
      </c>
    </row>
    <row r="16">
      <c r="C16" s="8" t="n"/>
      <c r="D16" s="6">
        <f>IF(C16="","",C16*IFERROR(VLOOKUP(B16,Contratos!$A:$G,7,0),0))</f>
        <v/>
      </c>
      <c r="E16" s="6">
        <f>IF(B16="","",SUMIF(Empregados!$A:$A,B16,Empregados!$L:$L))</f>
        <v/>
      </c>
      <c r="F16" s="6">
        <f>IF(C16="","",C16-D16)</f>
        <v/>
      </c>
      <c r="G16" s="8" t="n"/>
      <c r="H16" s="3">
        <f>IF(E16="","",IF(G16="","EM ATRASO",IF(G16&gt;=E16,"CONFORME","EM ATRASO")))</f>
        <v/>
      </c>
    </row>
    <row r="17">
      <c r="C17" s="8" t="n"/>
      <c r="D17" s="6">
        <f>IF(C17="","",C17*IFERROR(VLOOKUP(B17,Contratos!$A:$G,7,0),0))</f>
        <v/>
      </c>
      <c r="E17" s="6">
        <f>IF(B17="","",SUMIF(Empregados!$A:$A,B17,Empregados!$L:$L))</f>
        <v/>
      </c>
      <c r="F17" s="6">
        <f>IF(C17="","",C17-D17)</f>
        <v/>
      </c>
      <c r="G17" s="8" t="n"/>
      <c r="H17" s="3">
        <f>IF(E17="","",IF(G17="","EM ATRASO",IF(G17&gt;=E17,"CONFORME","EM ATRASO")))</f>
        <v/>
      </c>
    </row>
    <row r="18">
      <c r="C18" s="8" t="n"/>
      <c r="D18" s="6">
        <f>IF(C18="","",C18*IFERROR(VLOOKUP(B18,Contratos!$A:$G,7,0),0))</f>
        <v/>
      </c>
      <c r="E18" s="6">
        <f>IF(B18="","",SUMIF(Empregados!$A:$A,B18,Empregados!$L:$L))</f>
        <v/>
      </c>
      <c r="F18" s="6">
        <f>IF(C18="","",C18-D18)</f>
        <v/>
      </c>
      <c r="G18" s="8" t="n"/>
      <c r="H18" s="3">
        <f>IF(E18="","",IF(G18="","EM ATRASO",IF(G18&gt;=E18,"CONFORME","EM ATRASO")))</f>
        <v/>
      </c>
    </row>
    <row r="19">
      <c r="C19" s="8" t="n"/>
      <c r="D19" s="6">
        <f>IF(C19="","",C19*IFERROR(VLOOKUP(B19,Contratos!$A:$G,7,0),0))</f>
        <v/>
      </c>
      <c r="E19" s="6">
        <f>IF(B19="","",SUMIF(Empregados!$A:$A,B19,Empregados!$L:$L))</f>
        <v/>
      </c>
      <c r="F19" s="6">
        <f>IF(C19="","",C19-D19)</f>
        <v/>
      </c>
      <c r="G19" s="8" t="n"/>
      <c r="H19" s="3">
        <f>IF(E19="","",IF(G19="","EM ATRASO",IF(G19&gt;=E19,"CONFORME","EM ATRASO")))</f>
        <v/>
      </c>
    </row>
    <row r="20">
      <c r="C20" s="8" t="n"/>
      <c r="D20" s="6">
        <f>IF(C20="","",C20*IFERROR(VLOOKUP(B20,Contratos!$A:$G,7,0),0))</f>
        <v/>
      </c>
      <c r="E20" s="6">
        <f>IF(B20="","",SUMIF(Empregados!$A:$A,B20,Empregados!$L:$L))</f>
        <v/>
      </c>
      <c r="F20" s="6">
        <f>IF(C20="","",C20-D20)</f>
        <v/>
      </c>
      <c r="G20" s="8" t="n"/>
      <c r="H20" s="3">
        <f>IF(E20="","",IF(G20="","EM ATRASO",IF(G20&gt;=E20,"CONFORME","EM ATRASO")))</f>
        <v/>
      </c>
    </row>
    <row r="21">
      <c r="C21" s="8" t="n"/>
      <c r="D21" s="6">
        <f>IF(C21="","",C21*IFERROR(VLOOKUP(B21,Contratos!$A:$G,7,0),0))</f>
        <v/>
      </c>
      <c r="E21" s="6">
        <f>IF(B21="","",SUMIF(Empregados!$A:$A,B21,Empregados!$L:$L))</f>
        <v/>
      </c>
      <c r="F21" s="6">
        <f>IF(C21="","",C21-D21)</f>
        <v/>
      </c>
      <c r="G21" s="8" t="n"/>
      <c r="H21" s="3">
        <f>IF(E21="","",IF(G21="","EM ATRASO",IF(G21&gt;=E21,"CONFORME","EM ATRASO")))</f>
        <v/>
      </c>
    </row>
    <row r="22">
      <c r="C22" s="8" t="n"/>
      <c r="D22" s="6">
        <f>IF(C22="","",C22*IFERROR(VLOOKUP(B22,Contratos!$A:$G,7,0),0))</f>
        <v/>
      </c>
      <c r="E22" s="6">
        <f>IF(B22="","",SUMIF(Empregados!$A:$A,B22,Empregados!$L:$L))</f>
        <v/>
      </c>
      <c r="F22" s="6">
        <f>IF(C22="","",C22-D22)</f>
        <v/>
      </c>
      <c r="G22" s="8" t="n"/>
      <c r="H22" s="3">
        <f>IF(E22="","",IF(G22="","EM ATRASO",IF(G22&gt;=E22,"CONFORME","EM ATRASO")))</f>
        <v/>
      </c>
    </row>
    <row r="23">
      <c r="C23" s="8" t="n"/>
      <c r="D23" s="6">
        <f>IF(C23="","",C23*IFERROR(VLOOKUP(B23,Contratos!$A:$G,7,0),0))</f>
        <v/>
      </c>
      <c r="E23" s="6">
        <f>IF(B23="","",SUMIF(Empregados!$A:$A,B23,Empregados!$L:$L))</f>
        <v/>
      </c>
      <c r="F23" s="6">
        <f>IF(C23="","",C23-D23)</f>
        <v/>
      </c>
      <c r="G23" s="8" t="n"/>
      <c r="H23" s="3">
        <f>IF(E23="","",IF(G23="","EM ATRASO",IF(G23&gt;=E23,"CONFORME","EM ATRASO")))</f>
        <v/>
      </c>
    </row>
    <row r="24">
      <c r="C24" s="8" t="n"/>
      <c r="D24" s="6">
        <f>IF(C24="","",C24*IFERROR(VLOOKUP(B24,Contratos!$A:$G,7,0),0))</f>
        <v/>
      </c>
      <c r="E24" s="6">
        <f>IF(B24="","",SUMIF(Empregados!$A:$A,B24,Empregados!$L:$L))</f>
        <v/>
      </c>
      <c r="F24" s="6">
        <f>IF(C24="","",C24-D24)</f>
        <v/>
      </c>
      <c r="G24" s="8" t="n"/>
      <c r="H24" s="3">
        <f>IF(E24="","",IF(G24="","EM ATRASO",IF(G24&gt;=E24,"CONFORME","EM ATRASO")))</f>
        <v/>
      </c>
    </row>
    <row r="25">
      <c r="C25" s="8" t="n"/>
      <c r="D25" s="6">
        <f>IF(C25="","",C25*IFERROR(VLOOKUP(B25,Contratos!$A:$G,7,0),0))</f>
        <v/>
      </c>
      <c r="E25" s="6">
        <f>IF(B25="","",SUMIF(Empregados!$A:$A,B25,Empregados!$L:$L))</f>
        <v/>
      </c>
      <c r="F25" s="6">
        <f>IF(C25="","",C25-D25)</f>
        <v/>
      </c>
      <c r="G25" s="8" t="n"/>
      <c r="H25" s="3">
        <f>IF(E25="","",IF(G25="","EM ATRASO",IF(G25&gt;=E25,"CONFORME","EM ATRASO")))</f>
        <v/>
      </c>
    </row>
    <row r="26">
      <c r="C26" s="8" t="n"/>
      <c r="D26" s="6">
        <f>IF(C26="","",C26*IFERROR(VLOOKUP(B26,Contratos!$A:$G,7,0),0))</f>
        <v/>
      </c>
      <c r="E26" s="6">
        <f>IF(B26="","",SUMIF(Empregados!$A:$A,B26,Empregados!$L:$L))</f>
        <v/>
      </c>
      <c r="F26" s="6">
        <f>IF(C26="","",C26-D26)</f>
        <v/>
      </c>
      <c r="G26" s="8" t="n"/>
      <c r="H26" s="3">
        <f>IF(E26="","",IF(G26="","EM ATRASO",IF(G26&gt;=E26,"CONFORME","EM ATRASO")))</f>
        <v/>
      </c>
    </row>
    <row r="27">
      <c r="C27" s="8" t="n"/>
      <c r="D27" s="6">
        <f>IF(C27="","",C27*IFERROR(VLOOKUP(B27,Contratos!$A:$G,7,0),0))</f>
        <v/>
      </c>
      <c r="E27" s="6">
        <f>IF(B27="","",SUMIF(Empregados!$A:$A,B27,Empregados!$L:$L))</f>
        <v/>
      </c>
      <c r="F27" s="6">
        <f>IF(C27="","",C27-D27)</f>
        <v/>
      </c>
      <c r="G27" s="8" t="n"/>
      <c r="H27" s="3">
        <f>IF(E27="","",IF(G27="","EM ATRASO",IF(G27&gt;=E27,"CONFORME","EM ATRASO")))</f>
        <v/>
      </c>
    </row>
    <row r="28">
      <c r="C28" s="8" t="n"/>
      <c r="D28" s="6">
        <f>IF(C28="","",C28*IFERROR(VLOOKUP(B28,Contratos!$A:$G,7,0),0))</f>
        <v/>
      </c>
      <c r="E28" s="6">
        <f>IF(B28="","",SUMIF(Empregados!$A:$A,B28,Empregados!$L:$L))</f>
        <v/>
      </c>
      <c r="F28" s="6">
        <f>IF(C28="","",C28-D28)</f>
        <v/>
      </c>
      <c r="G28" s="8" t="n"/>
      <c r="H28" s="3">
        <f>IF(E28="","",IF(G28="","EM ATRASO",IF(G28&gt;=E28,"CONFORME","EM ATRASO")))</f>
        <v/>
      </c>
    </row>
    <row r="29">
      <c r="C29" s="8" t="n"/>
      <c r="D29" s="6">
        <f>IF(C29="","",C29*IFERROR(VLOOKUP(B29,Contratos!$A:$G,7,0),0))</f>
        <v/>
      </c>
      <c r="E29" s="6">
        <f>IF(B29="","",SUMIF(Empregados!$A:$A,B29,Empregados!$L:$L))</f>
        <v/>
      </c>
      <c r="F29" s="6">
        <f>IF(C29="","",C29-D29)</f>
        <v/>
      </c>
      <c r="G29" s="8" t="n"/>
      <c r="H29" s="3">
        <f>IF(E29="","",IF(G29="","EM ATRASO",IF(G29&gt;=E29,"CONFORME","EM ATRASO")))</f>
        <v/>
      </c>
    </row>
    <row r="30">
      <c r="C30" s="8" t="n"/>
      <c r="D30" s="6">
        <f>IF(C30="","",C30*IFERROR(VLOOKUP(B30,Contratos!$A:$G,7,0),0))</f>
        <v/>
      </c>
      <c r="E30" s="6">
        <f>IF(B30="","",SUMIF(Empregados!$A:$A,B30,Empregados!$L:$L))</f>
        <v/>
      </c>
      <c r="F30" s="6">
        <f>IF(C30="","",C30-D30)</f>
        <v/>
      </c>
      <c r="G30" s="8" t="n"/>
      <c r="H30" s="3">
        <f>IF(E30="","",IF(G30="","EM ATRASO",IF(G30&gt;=E30,"CONFORME","EM ATRASO")))</f>
        <v/>
      </c>
    </row>
    <row r="31">
      <c r="C31" s="8" t="n"/>
      <c r="D31" s="6">
        <f>IF(C31="","",C31*IFERROR(VLOOKUP(B31,Contratos!$A:$G,7,0),0))</f>
        <v/>
      </c>
      <c r="E31" s="6">
        <f>IF(B31="","",SUMIF(Empregados!$A:$A,B31,Empregados!$L:$L))</f>
        <v/>
      </c>
      <c r="F31" s="6">
        <f>IF(C31="","",C31-D31)</f>
        <v/>
      </c>
      <c r="G31" s="8" t="n"/>
      <c r="H31" s="3">
        <f>IF(E31="","",IF(G31="","EM ATRASO",IF(G31&gt;=E31,"CONFORME","EM ATRASO")))</f>
        <v/>
      </c>
    </row>
    <row r="32">
      <c r="C32" s="8" t="n"/>
      <c r="D32" s="6">
        <f>IF(C32="","",C32*IFERROR(VLOOKUP(B32,Contratos!$A:$G,7,0),0))</f>
        <v/>
      </c>
      <c r="E32" s="6">
        <f>IF(B32="","",SUMIF(Empregados!$A:$A,B32,Empregados!$L:$L))</f>
        <v/>
      </c>
      <c r="F32" s="6">
        <f>IF(C32="","",C32-D32)</f>
        <v/>
      </c>
      <c r="G32" s="8" t="n"/>
      <c r="H32" s="3">
        <f>IF(E32="","",IF(G32="","EM ATRASO",IF(G32&gt;=E32,"CONFORME","EM ATRASO")))</f>
        <v/>
      </c>
    </row>
    <row r="33">
      <c r="C33" s="8" t="n"/>
      <c r="D33" s="6">
        <f>IF(C33="","",C33*IFERROR(VLOOKUP(B33,Contratos!$A:$G,7,0),0))</f>
        <v/>
      </c>
      <c r="E33" s="6">
        <f>IF(B33="","",SUMIF(Empregados!$A:$A,B33,Empregados!$L:$L))</f>
        <v/>
      </c>
      <c r="F33" s="6">
        <f>IF(C33="","",C33-D33)</f>
        <v/>
      </c>
      <c r="G33" s="8" t="n"/>
      <c r="H33" s="3">
        <f>IF(E33="","",IF(G33="","EM ATRASO",IF(G33&gt;=E33,"CONFORME","EM ATRASO")))</f>
        <v/>
      </c>
    </row>
    <row r="34">
      <c r="C34" s="8" t="n"/>
      <c r="D34" s="6">
        <f>IF(C34="","",C34*IFERROR(VLOOKUP(B34,Contratos!$A:$G,7,0),0))</f>
        <v/>
      </c>
      <c r="E34" s="6">
        <f>IF(B34="","",SUMIF(Empregados!$A:$A,B34,Empregados!$L:$L))</f>
        <v/>
      </c>
      <c r="F34" s="6">
        <f>IF(C34="","",C34-D34)</f>
        <v/>
      </c>
      <c r="G34" s="8" t="n"/>
      <c r="H34" s="3">
        <f>IF(E34="","",IF(G34="","EM ATRASO",IF(G34&gt;=E34,"CONFORME","EM ATRASO")))</f>
        <v/>
      </c>
    </row>
    <row r="35">
      <c r="C35" s="8" t="n"/>
      <c r="D35" s="6">
        <f>IF(C35="","",C35*IFERROR(VLOOKUP(B35,Contratos!$A:$G,7,0),0))</f>
        <v/>
      </c>
      <c r="E35" s="6">
        <f>IF(B35="","",SUMIF(Empregados!$A:$A,B35,Empregados!$L:$L))</f>
        <v/>
      </c>
      <c r="F35" s="6">
        <f>IF(C35="","",C35-D35)</f>
        <v/>
      </c>
      <c r="G35" s="8" t="n"/>
      <c r="H35" s="3">
        <f>IF(E35="","",IF(G35="","EM ATRASO",IF(G35&gt;=E35,"CONFORME","EM ATRASO")))</f>
        <v/>
      </c>
    </row>
    <row r="36">
      <c r="C36" s="8" t="n"/>
      <c r="D36" s="6">
        <f>IF(C36="","",C36*IFERROR(VLOOKUP(B36,Contratos!$A:$G,7,0),0))</f>
        <v/>
      </c>
      <c r="E36" s="6">
        <f>IF(B36="","",SUMIF(Empregados!$A:$A,B36,Empregados!$L:$L))</f>
        <v/>
      </c>
      <c r="F36" s="6">
        <f>IF(C36="","",C36-D36)</f>
        <v/>
      </c>
      <c r="G36" s="8" t="n"/>
      <c r="H36" s="3">
        <f>IF(E36="","",IF(G36="","EM ATRASO",IF(G36&gt;=E36,"CONFORME","EM ATRASO")))</f>
        <v/>
      </c>
    </row>
    <row r="37">
      <c r="C37" s="8" t="n"/>
      <c r="D37" s="6">
        <f>IF(C37="","",C37*IFERROR(VLOOKUP(B37,Contratos!$A:$G,7,0),0))</f>
        <v/>
      </c>
      <c r="E37" s="6">
        <f>IF(B37="","",SUMIF(Empregados!$A:$A,B37,Empregados!$L:$L))</f>
        <v/>
      </c>
      <c r="F37" s="6">
        <f>IF(C37="","",C37-D37)</f>
        <v/>
      </c>
      <c r="G37" s="8" t="n"/>
      <c r="H37" s="3">
        <f>IF(E37="","",IF(G37="","EM ATRASO",IF(G37&gt;=E37,"CONFORME","EM ATRASO")))</f>
        <v/>
      </c>
    </row>
    <row r="38">
      <c r="C38" s="8" t="n"/>
      <c r="D38" s="6">
        <f>IF(C38="","",C38*IFERROR(VLOOKUP(B38,Contratos!$A:$G,7,0),0))</f>
        <v/>
      </c>
      <c r="E38" s="6">
        <f>IF(B38="","",SUMIF(Empregados!$A:$A,B38,Empregados!$L:$L))</f>
        <v/>
      </c>
      <c r="F38" s="6">
        <f>IF(C38="","",C38-D38)</f>
        <v/>
      </c>
      <c r="G38" s="8" t="n"/>
      <c r="H38" s="3">
        <f>IF(E38="","",IF(G38="","EM ATRASO",IF(G38&gt;=E38,"CONFORME","EM ATRASO")))</f>
        <v/>
      </c>
    </row>
    <row r="39">
      <c r="C39" s="8" t="n"/>
      <c r="D39" s="6">
        <f>IF(C39="","",C39*IFERROR(VLOOKUP(B39,Contratos!$A:$G,7,0),0))</f>
        <v/>
      </c>
      <c r="E39" s="6">
        <f>IF(B39="","",SUMIF(Empregados!$A:$A,B39,Empregados!$L:$L))</f>
        <v/>
      </c>
      <c r="F39" s="6">
        <f>IF(C39="","",C39-D39)</f>
        <v/>
      </c>
      <c r="G39" s="8" t="n"/>
      <c r="H39" s="3">
        <f>IF(E39="","",IF(G39="","EM ATRASO",IF(G39&gt;=E39,"CONFORME","EM ATRASO")))</f>
        <v/>
      </c>
    </row>
    <row r="40">
      <c r="C40" s="8" t="n"/>
      <c r="D40" s="6">
        <f>IF(C40="","",C40*IFERROR(VLOOKUP(B40,Contratos!$A:$G,7,0),0))</f>
        <v/>
      </c>
      <c r="E40" s="6">
        <f>IF(B40="","",SUMIF(Empregados!$A:$A,B40,Empregados!$L:$L))</f>
        <v/>
      </c>
      <c r="F40" s="6">
        <f>IF(C40="","",C40-D40)</f>
        <v/>
      </c>
      <c r="G40" s="8" t="n"/>
      <c r="H40" s="3">
        <f>IF(E40="","",IF(G40="","EM ATRASO",IF(G40&gt;=E40,"CONFORME","EM ATRASO")))</f>
        <v/>
      </c>
    </row>
    <row r="41">
      <c r="C41" s="8" t="n"/>
      <c r="D41" s="6">
        <f>IF(C41="","",C41*IFERROR(VLOOKUP(B41,Contratos!$A:$G,7,0),0))</f>
        <v/>
      </c>
      <c r="E41" s="6">
        <f>IF(B41="","",SUMIF(Empregados!$A:$A,B41,Empregados!$L:$L))</f>
        <v/>
      </c>
      <c r="F41" s="6">
        <f>IF(C41="","",C41-D41)</f>
        <v/>
      </c>
      <c r="G41" s="8" t="n"/>
      <c r="H41" s="3">
        <f>IF(E41="","",IF(G41="","EM ATRASO",IF(G41&gt;=E41,"CONFORME","EM ATRASO")))</f>
        <v/>
      </c>
    </row>
    <row r="42">
      <c r="C42" s="8" t="n"/>
      <c r="D42" s="6">
        <f>IF(C42="","",C42*IFERROR(VLOOKUP(B42,Contratos!$A:$G,7,0),0))</f>
        <v/>
      </c>
      <c r="E42" s="6">
        <f>IF(B42="","",SUMIF(Empregados!$A:$A,B42,Empregados!$L:$L))</f>
        <v/>
      </c>
      <c r="F42" s="6">
        <f>IF(C42="","",C42-D42)</f>
        <v/>
      </c>
      <c r="G42" s="8" t="n"/>
      <c r="H42" s="3">
        <f>IF(E42="","",IF(G42="","EM ATRASO",IF(G42&gt;=E42,"CONFORME","EM ATRASO")))</f>
        <v/>
      </c>
    </row>
    <row r="43">
      <c r="C43" s="8" t="n"/>
      <c r="D43" s="6">
        <f>IF(C43="","",C43*IFERROR(VLOOKUP(B43,Contratos!$A:$G,7,0),0))</f>
        <v/>
      </c>
      <c r="E43" s="6">
        <f>IF(B43="","",SUMIF(Empregados!$A:$A,B43,Empregados!$L:$L))</f>
        <v/>
      </c>
      <c r="F43" s="6">
        <f>IF(C43="","",C43-D43)</f>
        <v/>
      </c>
      <c r="G43" s="8" t="n"/>
      <c r="H43" s="3">
        <f>IF(E43="","",IF(G43="","EM ATRASO",IF(G43&gt;=E43,"CONFORME","EM ATRASO")))</f>
        <v/>
      </c>
    </row>
    <row r="44">
      <c r="C44" s="8" t="n"/>
      <c r="D44" s="6">
        <f>IF(C44="","",C44*IFERROR(VLOOKUP(B44,Contratos!$A:$G,7,0),0))</f>
        <v/>
      </c>
      <c r="E44" s="6">
        <f>IF(B44="","",SUMIF(Empregados!$A:$A,B44,Empregados!$L:$L))</f>
        <v/>
      </c>
      <c r="F44" s="6">
        <f>IF(C44="","",C44-D44)</f>
        <v/>
      </c>
      <c r="G44" s="8" t="n"/>
      <c r="H44" s="3">
        <f>IF(E44="","",IF(G44="","EM ATRASO",IF(G44&gt;=E44,"CONFORME","EM ATRASO")))</f>
        <v/>
      </c>
    </row>
    <row r="45">
      <c r="C45" s="8" t="n"/>
      <c r="D45" s="6">
        <f>IF(C45="","",C45*IFERROR(VLOOKUP(B45,Contratos!$A:$G,7,0),0))</f>
        <v/>
      </c>
      <c r="E45" s="6">
        <f>IF(B45="","",SUMIF(Empregados!$A:$A,B45,Empregados!$L:$L))</f>
        <v/>
      </c>
      <c r="F45" s="6">
        <f>IF(C45="","",C45-D45)</f>
        <v/>
      </c>
      <c r="G45" s="8" t="n"/>
      <c r="H45" s="3">
        <f>IF(E45="","",IF(G45="","EM ATRASO",IF(G45&gt;=E45,"CONFORME","EM ATRASO")))</f>
        <v/>
      </c>
    </row>
    <row r="46">
      <c r="C46" s="8" t="n"/>
      <c r="D46" s="6">
        <f>IF(C46="","",C46*IFERROR(VLOOKUP(B46,Contratos!$A:$G,7,0),0))</f>
        <v/>
      </c>
      <c r="E46" s="6">
        <f>IF(B46="","",SUMIF(Empregados!$A:$A,B46,Empregados!$L:$L))</f>
        <v/>
      </c>
      <c r="F46" s="6">
        <f>IF(C46="","",C46-D46)</f>
        <v/>
      </c>
      <c r="G46" s="8" t="n"/>
      <c r="H46" s="3">
        <f>IF(E46="","",IF(G46="","EM ATRASO",IF(G46&gt;=E46,"CONFORME","EM ATRASO")))</f>
        <v/>
      </c>
    </row>
    <row r="47">
      <c r="C47" s="8" t="n"/>
      <c r="D47" s="6">
        <f>IF(C47="","",C47*IFERROR(VLOOKUP(B47,Contratos!$A:$G,7,0),0))</f>
        <v/>
      </c>
      <c r="E47" s="6">
        <f>IF(B47="","",SUMIF(Empregados!$A:$A,B47,Empregados!$L:$L))</f>
        <v/>
      </c>
      <c r="F47" s="6">
        <f>IF(C47="","",C47-D47)</f>
        <v/>
      </c>
      <c r="G47" s="8" t="n"/>
      <c r="H47" s="3">
        <f>IF(E47="","",IF(G47="","EM ATRASO",IF(G47&gt;=E47,"CONFORME","EM ATRASO")))</f>
        <v/>
      </c>
    </row>
    <row r="48">
      <c r="C48" s="8" t="n"/>
      <c r="D48" s="6">
        <f>IF(C48="","",C48*IFERROR(VLOOKUP(B48,Contratos!$A:$G,7,0),0))</f>
        <v/>
      </c>
      <c r="E48" s="6">
        <f>IF(B48="","",SUMIF(Empregados!$A:$A,B48,Empregados!$L:$L))</f>
        <v/>
      </c>
      <c r="F48" s="6">
        <f>IF(C48="","",C48-D48)</f>
        <v/>
      </c>
      <c r="G48" s="8" t="n"/>
      <c r="H48" s="3">
        <f>IF(E48="","",IF(G48="","EM ATRASO",IF(G48&gt;=E48,"CONFORME","EM ATRASO")))</f>
        <v/>
      </c>
    </row>
    <row r="49">
      <c r="C49" s="8" t="n"/>
      <c r="D49" s="6">
        <f>IF(C49="","",C49*IFERROR(VLOOKUP(B49,Contratos!$A:$G,7,0),0))</f>
        <v/>
      </c>
      <c r="E49" s="6">
        <f>IF(B49="","",SUMIF(Empregados!$A:$A,B49,Empregados!$L:$L))</f>
        <v/>
      </c>
      <c r="F49" s="6">
        <f>IF(C49="","",C49-D49)</f>
        <v/>
      </c>
      <c r="G49" s="8" t="n"/>
      <c r="H49" s="3">
        <f>IF(E49="","",IF(G49="","EM ATRASO",IF(G49&gt;=E49,"CONFORME","EM ATRASO")))</f>
        <v/>
      </c>
    </row>
    <row r="50">
      <c r="C50" s="8" t="n"/>
      <c r="D50" s="6">
        <f>IF(C50="","",C50*IFERROR(VLOOKUP(B50,Contratos!$A:$G,7,0),0))</f>
        <v/>
      </c>
      <c r="E50" s="6">
        <f>IF(B50="","",SUMIF(Empregados!$A:$A,B50,Empregados!$L:$L))</f>
        <v/>
      </c>
      <c r="F50" s="6">
        <f>IF(C50="","",C50-D50)</f>
        <v/>
      </c>
      <c r="G50" s="8" t="n"/>
      <c r="H50" s="3">
        <f>IF(E50="","",IF(G50="","EM ATRASO",IF(G50&gt;=E50,"CONFORME","EM ATRASO")))</f>
        <v/>
      </c>
    </row>
    <row r="51">
      <c r="C51" s="8" t="n"/>
      <c r="D51" s="6">
        <f>IF(C51="","",C51*IFERROR(VLOOKUP(B51,Contratos!$A:$G,7,0),0))</f>
        <v/>
      </c>
      <c r="E51" s="6">
        <f>IF(B51="","",SUMIF(Empregados!$A:$A,B51,Empregados!$L:$L))</f>
        <v/>
      </c>
      <c r="F51" s="6">
        <f>IF(C51="","",C51-D51)</f>
        <v/>
      </c>
      <c r="G51" s="8" t="n"/>
      <c r="H51" s="3">
        <f>IF(E51="","",IF(G51="","EM ATRASO",IF(G51&gt;=E51,"CONFORME","EM ATRASO")))</f>
        <v/>
      </c>
    </row>
    <row r="52">
      <c r="C52" s="8" t="n"/>
      <c r="D52" s="6">
        <f>IF(C52="","",C52*IFERROR(VLOOKUP(B52,Contratos!$A:$G,7,0),0))</f>
        <v/>
      </c>
      <c r="E52" s="6">
        <f>IF(B52="","",SUMIF(Empregados!$A:$A,B52,Empregados!$L:$L))</f>
        <v/>
      </c>
      <c r="F52" s="6">
        <f>IF(C52="","",C52-D52)</f>
        <v/>
      </c>
      <c r="G52" s="8" t="n"/>
      <c r="H52" s="3">
        <f>IF(E52="","",IF(G52="","EM ATRASO",IF(G52&gt;=E52,"CONFORME","EM ATRASO")))</f>
        <v/>
      </c>
    </row>
    <row r="53">
      <c r="C53" s="8" t="n"/>
      <c r="D53" s="6">
        <f>IF(C53="","",C53*IFERROR(VLOOKUP(B53,Contratos!$A:$G,7,0),0))</f>
        <v/>
      </c>
      <c r="E53" s="6">
        <f>IF(B53="","",SUMIF(Empregados!$A:$A,B53,Empregados!$L:$L))</f>
        <v/>
      </c>
      <c r="F53" s="6">
        <f>IF(C53="","",C53-D53)</f>
        <v/>
      </c>
      <c r="G53" s="8" t="n"/>
      <c r="H53" s="3">
        <f>IF(E53="","",IF(G53="","EM ATRASO",IF(G53&gt;=E53,"CONFORME","EM ATRASO")))</f>
        <v/>
      </c>
    </row>
    <row r="54">
      <c r="C54" s="8" t="n"/>
      <c r="D54" s="6">
        <f>IF(C54="","",C54*IFERROR(VLOOKUP(B54,Contratos!$A:$G,7,0),0))</f>
        <v/>
      </c>
      <c r="E54" s="6">
        <f>IF(B54="","",SUMIF(Empregados!$A:$A,B54,Empregados!$L:$L))</f>
        <v/>
      </c>
      <c r="F54" s="6">
        <f>IF(C54="","",C54-D54)</f>
        <v/>
      </c>
      <c r="G54" s="8" t="n"/>
      <c r="H54" s="3">
        <f>IF(E54="","",IF(G54="","EM ATRASO",IF(G54&gt;=E54,"CONFORME","EM ATRASO")))</f>
        <v/>
      </c>
    </row>
    <row r="55">
      <c r="C55" s="8" t="n"/>
      <c r="D55" s="6">
        <f>IF(C55="","",C55*IFERROR(VLOOKUP(B55,Contratos!$A:$G,7,0),0))</f>
        <v/>
      </c>
      <c r="E55" s="6">
        <f>IF(B55="","",SUMIF(Empregados!$A:$A,B55,Empregados!$L:$L))</f>
        <v/>
      </c>
      <c r="F55" s="6">
        <f>IF(C55="","",C55-D55)</f>
        <v/>
      </c>
      <c r="G55" s="8" t="n"/>
      <c r="H55" s="3">
        <f>IF(E55="","",IF(G55="","EM ATRASO",IF(G55&gt;=E55,"CONFORME","EM ATRASO")))</f>
        <v/>
      </c>
    </row>
    <row r="56">
      <c r="C56" s="8" t="n"/>
      <c r="D56" s="6">
        <f>IF(C56="","",C56*IFERROR(VLOOKUP(B56,Contratos!$A:$G,7,0),0))</f>
        <v/>
      </c>
      <c r="E56" s="6">
        <f>IF(B56="","",SUMIF(Empregados!$A:$A,B56,Empregados!$L:$L))</f>
        <v/>
      </c>
      <c r="F56" s="6">
        <f>IF(C56="","",C56-D56)</f>
        <v/>
      </c>
      <c r="G56" s="8" t="n"/>
      <c r="H56" s="3">
        <f>IF(E56="","",IF(G56="","EM ATRASO",IF(G56&gt;=E56,"CONFORME","EM ATRASO")))</f>
        <v/>
      </c>
    </row>
    <row r="57">
      <c r="C57" s="8" t="n"/>
      <c r="D57" s="6">
        <f>IF(C57="","",C57*IFERROR(VLOOKUP(B57,Contratos!$A:$G,7,0),0))</f>
        <v/>
      </c>
      <c r="E57" s="6">
        <f>IF(B57="","",SUMIF(Empregados!$A:$A,B57,Empregados!$L:$L))</f>
        <v/>
      </c>
      <c r="F57" s="6">
        <f>IF(C57="","",C57-D57)</f>
        <v/>
      </c>
      <c r="G57" s="8" t="n"/>
      <c r="H57" s="3">
        <f>IF(E57="","",IF(G57="","EM ATRASO",IF(G57&gt;=E57,"CONFORME","EM ATRASO")))</f>
        <v/>
      </c>
    </row>
    <row r="58">
      <c r="C58" s="8" t="n"/>
      <c r="D58" s="6">
        <f>IF(C58="","",C58*IFERROR(VLOOKUP(B58,Contratos!$A:$G,7,0),0))</f>
        <v/>
      </c>
      <c r="E58" s="6">
        <f>IF(B58="","",SUMIF(Empregados!$A:$A,B58,Empregados!$L:$L))</f>
        <v/>
      </c>
      <c r="F58" s="6">
        <f>IF(C58="","",C58-D58)</f>
        <v/>
      </c>
      <c r="G58" s="8" t="n"/>
      <c r="H58" s="3">
        <f>IF(E58="","",IF(G58="","EM ATRASO",IF(G58&gt;=E58,"CONFORME","EM ATRASO")))</f>
        <v/>
      </c>
    </row>
    <row r="59">
      <c r="C59" s="8" t="n"/>
      <c r="D59" s="6">
        <f>IF(C59="","",C59*IFERROR(VLOOKUP(B59,Contratos!$A:$G,7,0),0))</f>
        <v/>
      </c>
      <c r="E59" s="6">
        <f>IF(B59="","",SUMIF(Empregados!$A:$A,B59,Empregados!$L:$L))</f>
        <v/>
      </c>
      <c r="F59" s="6">
        <f>IF(C59="","",C59-D59)</f>
        <v/>
      </c>
      <c r="G59" s="8" t="n"/>
      <c r="H59" s="3">
        <f>IF(E59="","",IF(G59="","EM ATRASO",IF(G59&gt;=E59,"CONFORME","EM ATRASO")))</f>
        <v/>
      </c>
    </row>
    <row r="60">
      <c r="C60" s="8" t="n"/>
      <c r="D60" s="6">
        <f>IF(C60="","",C60*IFERROR(VLOOKUP(B60,Contratos!$A:$G,7,0),0))</f>
        <v/>
      </c>
      <c r="E60" s="6">
        <f>IF(B60="","",SUMIF(Empregados!$A:$A,B60,Empregados!$L:$L))</f>
        <v/>
      </c>
      <c r="F60" s="6">
        <f>IF(C60="","",C60-D60)</f>
        <v/>
      </c>
      <c r="G60" s="8" t="n"/>
      <c r="H60" s="3">
        <f>IF(E60="","",IF(G60="","EM ATRASO",IF(G60&gt;=E60,"CONFORME","EM ATRASO")))</f>
        <v/>
      </c>
    </row>
    <row r="61">
      <c r="C61" s="8" t="n"/>
      <c r="D61" s="6">
        <f>IF(C61="","",C61*IFERROR(VLOOKUP(B61,Contratos!$A:$G,7,0),0))</f>
        <v/>
      </c>
      <c r="E61" s="6">
        <f>IF(B61="","",SUMIF(Empregados!$A:$A,B61,Empregados!$L:$L))</f>
        <v/>
      </c>
      <c r="F61" s="6">
        <f>IF(C61="","",C61-D61)</f>
        <v/>
      </c>
      <c r="G61" s="8" t="n"/>
      <c r="H61" s="3">
        <f>IF(E61="","",IF(G61="","EM ATRASO",IF(G61&gt;=E61,"CONFORME","EM ATRASO")))</f>
        <v/>
      </c>
    </row>
    <row r="62">
      <c r="C62" s="8" t="n"/>
      <c r="D62" s="6">
        <f>IF(C62="","",C62*IFERROR(VLOOKUP(B62,Contratos!$A:$G,7,0),0))</f>
        <v/>
      </c>
      <c r="E62" s="6">
        <f>IF(B62="","",SUMIF(Empregados!$A:$A,B62,Empregados!$L:$L))</f>
        <v/>
      </c>
      <c r="F62" s="6">
        <f>IF(C62="","",C62-D62)</f>
        <v/>
      </c>
      <c r="G62" s="8" t="n"/>
      <c r="H62" s="3">
        <f>IF(E62="","",IF(G62="","EM ATRASO",IF(G62&gt;=E62,"CONFORME","EM ATRASO")))</f>
        <v/>
      </c>
    </row>
    <row r="63">
      <c r="C63" s="8" t="n"/>
      <c r="D63" s="6">
        <f>IF(C63="","",C63*IFERROR(VLOOKUP(B63,Contratos!$A:$G,7,0),0))</f>
        <v/>
      </c>
      <c r="E63" s="6">
        <f>IF(B63="","",SUMIF(Empregados!$A:$A,B63,Empregados!$L:$L))</f>
        <v/>
      </c>
      <c r="F63" s="6">
        <f>IF(C63="","",C63-D63)</f>
        <v/>
      </c>
      <c r="G63" s="8" t="n"/>
      <c r="H63" s="3">
        <f>IF(E63="","",IF(G63="","EM ATRASO",IF(G63&gt;=E63,"CONFORME","EM ATRASO")))</f>
        <v/>
      </c>
    </row>
    <row r="64">
      <c r="C64" s="8" t="n"/>
      <c r="D64" s="6">
        <f>IF(C64="","",C64*IFERROR(VLOOKUP(B64,Contratos!$A:$G,7,0),0))</f>
        <v/>
      </c>
      <c r="E64" s="6">
        <f>IF(B64="","",SUMIF(Empregados!$A:$A,B64,Empregados!$L:$L))</f>
        <v/>
      </c>
      <c r="F64" s="6">
        <f>IF(C64="","",C64-D64)</f>
        <v/>
      </c>
      <c r="G64" s="8" t="n"/>
      <c r="H64" s="3">
        <f>IF(E64="","",IF(G64="","EM ATRASO",IF(G64&gt;=E64,"CONFORME","EM ATRASO")))</f>
        <v/>
      </c>
    </row>
    <row r="65">
      <c r="C65" s="8" t="n"/>
      <c r="D65" s="6">
        <f>IF(C65="","",C65*IFERROR(VLOOKUP(B65,Contratos!$A:$G,7,0),0))</f>
        <v/>
      </c>
      <c r="E65" s="6">
        <f>IF(B65="","",SUMIF(Empregados!$A:$A,B65,Empregados!$L:$L))</f>
        <v/>
      </c>
      <c r="F65" s="6">
        <f>IF(C65="","",C65-D65)</f>
        <v/>
      </c>
      <c r="G65" s="8" t="n"/>
      <c r="H65" s="3">
        <f>IF(E65="","",IF(G65="","EM ATRASO",IF(G65&gt;=E65,"CONFORME","EM ATRASO")))</f>
        <v/>
      </c>
    </row>
    <row r="66">
      <c r="C66" s="8" t="n"/>
      <c r="D66" s="6">
        <f>IF(C66="","",C66*IFERROR(VLOOKUP(B66,Contratos!$A:$G,7,0),0))</f>
        <v/>
      </c>
      <c r="E66" s="6">
        <f>IF(B66="","",SUMIF(Empregados!$A:$A,B66,Empregados!$L:$L))</f>
        <v/>
      </c>
      <c r="F66" s="6">
        <f>IF(C66="","",C66-D66)</f>
        <v/>
      </c>
      <c r="G66" s="8" t="n"/>
      <c r="H66" s="3">
        <f>IF(E66="","",IF(G66="","EM ATRASO",IF(G66&gt;=E66,"CONFORME","EM ATRASO")))</f>
        <v/>
      </c>
    </row>
    <row r="67">
      <c r="C67" s="8" t="n"/>
      <c r="D67" s="6">
        <f>IF(C67="","",C67*IFERROR(VLOOKUP(B67,Contratos!$A:$G,7,0),0))</f>
        <v/>
      </c>
      <c r="E67" s="6">
        <f>IF(B67="","",SUMIF(Empregados!$A:$A,B67,Empregados!$L:$L))</f>
        <v/>
      </c>
      <c r="F67" s="6">
        <f>IF(C67="","",C67-D67)</f>
        <v/>
      </c>
      <c r="G67" s="8" t="n"/>
      <c r="H67" s="3">
        <f>IF(E67="","",IF(G67="","EM ATRASO",IF(G67&gt;=E67,"CONFORME","EM ATRASO")))</f>
        <v/>
      </c>
    </row>
    <row r="68">
      <c r="C68" s="8" t="n"/>
      <c r="D68" s="6">
        <f>IF(C68="","",C68*IFERROR(VLOOKUP(B68,Contratos!$A:$G,7,0),0))</f>
        <v/>
      </c>
      <c r="E68" s="6">
        <f>IF(B68="","",SUMIF(Empregados!$A:$A,B68,Empregados!$L:$L))</f>
        <v/>
      </c>
      <c r="F68" s="6">
        <f>IF(C68="","",C68-D68)</f>
        <v/>
      </c>
      <c r="G68" s="8" t="n"/>
      <c r="H68" s="3">
        <f>IF(E68="","",IF(G68="","EM ATRASO",IF(G68&gt;=E68,"CONFORME","EM ATRASO")))</f>
        <v/>
      </c>
    </row>
    <row r="69">
      <c r="C69" s="8" t="n"/>
      <c r="D69" s="6">
        <f>IF(C69="","",C69*IFERROR(VLOOKUP(B69,Contratos!$A:$G,7,0),0))</f>
        <v/>
      </c>
      <c r="E69" s="6">
        <f>IF(B69="","",SUMIF(Empregados!$A:$A,B69,Empregados!$L:$L))</f>
        <v/>
      </c>
      <c r="F69" s="6">
        <f>IF(C69="","",C69-D69)</f>
        <v/>
      </c>
      <c r="G69" s="8" t="n"/>
      <c r="H69" s="3">
        <f>IF(E69="","",IF(G69="","EM ATRASO",IF(G69&gt;=E69,"CONFORME","EM ATRASO")))</f>
        <v/>
      </c>
    </row>
    <row r="70">
      <c r="C70" s="8" t="n"/>
      <c r="D70" s="6">
        <f>IF(C70="","",C70*IFERROR(VLOOKUP(B70,Contratos!$A:$G,7,0),0))</f>
        <v/>
      </c>
      <c r="E70" s="6">
        <f>IF(B70="","",SUMIF(Empregados!$A:$A,B70,Empregados!$L:$L))</f>
        <v/>
      </c>
      <c r="F70" s="6">
        <f>IF(C70="","",C70-D70)</f>
        <v/>
      </c>
      <c r="G70" s="8" t="n"/>
      <c r="H70" s="3">
        <f>IF(E70="","",IF(G70="","EM ATRASO",IF(G70&gt;=E70,"CONFORME","EM ATRASO")))</f>
        <v/>
      </c>
    </row>
    <row r="71">
      <c r="C71" s="8" t="n"/>
      <c r="D71" s="6">
        <f>IF(C71="","",C71*IFERROR(VLOOKUP(B71,Contratos!$A:$G,7,0),0))</f>
        <v/>
      </c>
      <c r="E71" s="6">
        <f>IF(B71="","",SUMIF(Empregados!$A:$A,B71,Empregados!$L:$L))</f>
        <v/>
      </c>
      <c r="F71" s="6">
        <f>IF(C71="","",C71-D71)</f>
        <v/>
      </c>
      <c r="G71" s="8" t="n"/>
      <c r="H71" s="3">
        <f>IF(E71="","",IF(G71="","EM ATRASO",IF(G71&gt;=E71,"CONFORME","EM ATRASO")))</f>
        <v/>
      </c>
    </row>
    <row r="72">
      <c r="C72" s="8" t="n"/>
      <c r="D72" s="6">
        <f>IF(C72="","",C72*IFERROR(VLOOKUP(B72,Contratos!$A:$G,7,0),0))</f>
        <v/>
      </c>
      <c r="E72" s="6">
        <f>IF(B72="","",SUMIF(Empregados!$A:$A,B72,Empregados!$L:$L))</f>
        <v/>
      </c>
      <c r="F72" s="6">
        <f>IF(C72="","",C72-D72)</f>
        <v/>
      </c>
      <c r="G72" s="8" t="n"/>
      <c r="H72" s="3">
        <f>IF(E72="","",IF(G72="","EM ATRASO",IF(G72&gt;=E72,"CONFORME","EM ATRASO")))</f>
        <v/>
      </c>
    </row>
    <row r="73">
      <c r="C73" s="8" t="n"/>
      <c r="D73" s="6">
        <f>IF(C73="","",C73*IFERROR(VLOOKUP(B73,Contratos!$A:$G,7,0),0))</f>
        <v/>
      </c>
      <c r="E73" s="6">
        <f>IF(B73="","",SUMIF(Empregados!$A:$A,B73,Empregados!$L:$L))</f>
        <v/>
      </c>
      <c r="F73" s="6">
        <f>IF(C73="","",C73-D73)</f>
        <v/>
      </c>
      <c r="G73" s="8" t="n"/>
      <c r="H73" s="3">
        <f>IF(E73="","",IF(G73="","EM ATRASO",IF(G73&gt;=E73,"CONFORME","EM ATRASO")))</f>
        <v/>
      </c>
    </row>
    <row r="74">
      <c r="C74" s="8" t="n"/>
      <c r="D74" s="6">
        <f>IF(C74="","",C74*IFERROR(VLOOKUP(B74,Contratos!$A:$G,7,0),0))</f>
        <v/>
      </c>
      <c r="E74" s="6">
        <f>IF(B74="","",SUMIF(Empregados!$A:$A,B74,Empregados!$L:$L))</f>
        <v/>
      </c>
      <c r="F74" s="6">
        <f>IF(C74="","",C74-D74)</f>
        <v/>
      </c>
      <c r="G74" s="8" t="n"/>
      <c r="H74" s="3">
        <f>IF(E74="","",IF(G74="","EM ATRASO",IF(G74&gt;=E74,"CONFORME","EM ATRASO")))</f>
        <v/>
      </c>
    </row>
    <row r="75">
      <c r="C75" s="8" t="n"/>
      <c r="D75" s="6">
        <f>IF(C75="","",C75*IFERROR(VLOOKUP(B75,Contratos!$A:$G,7,0),0))</f>
        <v/>
      </c>
      <c r="E75" s="6">
        <f>IF(B75="","",SUMIF(Empregados!$A:$A,B75,Empregados!$L:$L))</f>
        <v/>
      </c>
      <c r="F75" s="6">
        <f>IF(C75="","",C75-D75)</f>
        <v/>
      </c>
      <c r="G75" s="8" t="n"/>
      <c r="H75" s="3">
        <f>IF(E75="","",IF(G75="","EM ATRASO",IF(G75&gt;=E75,"CONFORME","EM ATRASO")))</f>
        <v/>
      </c>
    </row>
    <row r="76">
      <c r="C76" s="8" t="n"/>
      <c r="D76" s="6">
        <f>IF(C76="","",C76*IFERROR(VLOOKUP(B76,Contratos!$A:$G,7,0),0))</f>
        <v/>
      </c>
      <c r="E76" s="6">
        <f>IF(B76="","",SUMIF(Empregados!$A:$A,B76,Empregados!$L:$L))</f>
        <v/>
      </c>
      <c r="F76" s="6">
        <f>IF(C76="","",C76-D76)</f>
        <v/>
      </c>
      <c r="G76" s="8" t="n"/>
      <c r="H76" s="3">
        <f>IF(E76="","",IF(G76="","EM ATRASO",IF(G76&gt;=E76,"CONFORME","EM ATRASO")))</f>
        <v/>
      </c>
    </row>
    <row r="77">
      <c r="C77" s="8" t="n"/>
      <c r="D77" s="6">
        <f>IF(C77="","",C77*IFERROR(VLOOKUP(B77,Contratos!$A:$G,7,0),0))</f>
        <v/>
      </c>
      <c r="E77" s="6">
        <f>IF(B77="","",SUMIF(Empregados!$A:$A,B77,Empregados!$L:$L))</f>
        <v/>
      </c>
      <c r="F77" s="6">
        <f>IF(C77="","",C77-D77)</f>
        <v/>
      </c>
      <c r="G77" s="8" t="n"/>
      <c r="H77" s="3">
        <f>IF(E77="","",IF(G77="","EM ATRASO",IF(G77&gt;=E77,"CONFORME","EM ATRASO")))</f>
        <v/>
      </c>
    </row>
    <row r="78">
      <c r="C78" s="8" t="n"/>
      <c r="D78" s="6">
        <f>IF(C78="","",C78*IFERROR(VLOOKUP(B78,Contratos!$A:$G,7,0),0))</f>
        <v/>
      </c>
      <c r="E78" s="6">
        <f>IF(B78="","",SUMIF(Empregados!$A:$A,B78,Empregados!$L:$L))</f>
        <v/>
      </c>
      <c r="F78" s="6">
        <f>IF(C78="","",C78-D78)</f>
        <v/>
      </c>
      <c r="G78" s="8" t="n"/>
      <c r="H78" s="3">
        <f>IF(E78="","",IF(G78="","EM ATRASO",IF(G78&gt;=E78,"CONFORME","EM ATRASO")))</f>
        <v/>
      </c>
    </row>
    <row r="79">
      <c r="C79" s="8" t="n"/>
      <c r="D79" s="6">
        <f>IF(C79="","",C79*IFERROR(VLOOKUP(B79,Contratos!$A:$G,7,0),0))</f>
        <v/>
      </c>
      <c r="E79" s="6">
        <f>IF(B79="","",SUMIF(Empregados!$A:$A,B79,Empregados!$L:$L))</f>
        <v/>
      </c>
      <c r="F79" s="6">
        <f>IF(C79="","",C79-D79)</f>
        <v/>
      </c>
      <c r="G79" s="8" t="n"/>
      <c r="H79" s="3">
        <f>IF(E79="","",IF(G79="","EM ATRASO",IF(G79&gt;=E79,"CONFORME","EM ATRASO")))</f>
        <v/>
      </c>
    </row>
    <row r="80">
      <c r="C80" s="8" t="n"/>
      <c r="D80" s="6">
        <f>IF(C80="","",C80*IFERROR(VLOOKUP(B80,Contratos!$A:$G,7,0),0))</f>
        <v/>
      </c>
      <c r="E80" s="6">
        <f>IF(B80="","",SUMIF(Empregados!$A:$A,B80,Empregados!$L:$L))</f>
        <v/>
      </c>
      <c r="F80" s="6">
        <f>IF(C80="","",C80-D80)</f>
        <v/>
      </c>
      <c r="G80" s="8" t="n"/>
      <c r="H80" s="3">
        <f>IF(E80="","",IF(G80="","EM ATRASO",IF(G80&gt;=E80,"CONFORME","EM ATRASO")))</f>
        <v/>
      </c>
    </row>
    <row r="81">
      <c r="C81" s="8" t="n"/>
      <c r="D81" s="6">
        <f>IF(C81="","",C81*IFERROR(VLOOKUP(B81,Contratos!$A:$G,7,0),0))</f>
        <v/>
      </c>
      <c r="E81" s="6">
        <f>IF(B81="","",SUMIF(Empregados!$A:$A,B81,Empregados!$L:$L))</f>
        <v/>
      </c>
      <c r="F81" s="6">
        <f>IF(C81="","",C81-D81)</f>
        <v/>
      </c>
      <c r="G81" s="8" t="n"/>
      <c r="H81" s="3">
        <f>IF(E81="","",IF(G81="","EM ATRASO",IF(G81&gt;=E81,"CONFORME","EM ATRASO")))</f>
        <v/>
      </c>
    </row>
    <row r="82">
      <c r="C82" s="8" t="n"/>
      <c r="D82" s="6">
        <f>IF(C82="","",C82*IFERROR(VLOOKUP(B82,Contratos!$A:$G,7,0),0))</f>
        <v/>
      </c>
      <c r="E82" s="6">
        <f>IF(B82="","",SUMIF(Empregados!$A:$A,B82,Empregados!$L:$L))</f>
        <v/>
      </c>
      <c r="F82" s="6">
        <f>IF(C82="","",C82-D82)</f>
        <v/>
      </c>
      <c r="G82" s="8" t="n"/>
      <c r="H82" s="3">
        <f>IF(E82="","",IF(G82="","EM ATRASO",IF(G82&gt;=E82,"CONFORME","EM ATRASO")))</f>
        <v/>
      </c>
    </row>
    <row r="83">
      <c r="C83" s="8" t="n"/>
      <c r="D83" s="6">
        <f>IF(C83="","",C83*IFERROR(VLOOKUP(B83,Contratos!$A:$G,7,0),0))</f>
        <v/>
      </c>
      <c r="E83" s="6">
        <f>IF(B83="","",SUMIF(Empregados!$A:$A,B83,Empregados!$L:$L))</f>
        <v/>
      </c>
      <c r="F83" s="6">
        <f>IF(C83="","",C83-D83)</f>
        <v/>
      </c>
      <c r="G83" s="8" t="n"/>
      <c r="H83" s="3">
        <f>IF(E83="","",IF(G83="","EM ATRASO",IF(G83&gt;=E83,"CONFORME","EM ATRASO")))</f>
        <v/>
      </c>
    </row>
    <row r="84">
      <c r="C84" s="8" t="n"/>
      <c r="D84" s="6">
        <f>IF(C84="","",C84*IFERROR(VLOOKUP(B84,Contratos!$A:$G,7,0),0))</f>
        <v/>
      </c>
      <c r="E84" s="6">
        <f>IF(B84="","",SUMIF(Empregados!$A:$A,B84,Empregados!$L:$L))</f>
        <v/>
      </c>
      <c r="F84" s="6">
        <f>IF(C84="","",C84-D84)</f>
        <v/>
      </c>
      <c r="G84" s="8" t="n"/>
      <c r="H84" s="3">
        <f>IF(E84="","",IF(G84="","EM ATRASO",IF(G84&gt;=E84,"CONFORME","EM ATRASO")))</f>
        <v/>
      </c>
    </row>
    <row r="85">
      <c r="C85" s="8" t="n"/>
      <c r="D85" s="6">
        <f>IF(C85="","",C85*IFERROR(VLOOKUP(B85,Contratos!$A:$G,7,0),0))</f>
        <v/>
      </c>
      <c r="E85" s="6">
        <f>IF(B85="","",SUMIF(Empregados!$A:$A,B85,Empregados!$L:$L))</f>
        <v/>
      </c>
      <c r="F85" s="6">
        <f>IF(C85="","",C85-D85)</f>
        <v/>
      </c>
      <c r="G85" s="8" t="n"/>
      <c r="H85" s="3">
        <f>IF(E85="","",IF(G85="","EM ATRASO",IF(G85&gt;=E85,"CONFORME","EM ATRASO")))</f>
        <v/>
      </c>
    </row>
    <row r="86">
      <c r="C86" s="8" t="n"/>
      <c r="D86" s="6">
        <f>IF(C86="","",C86*IFERROR(VLOOKUP(B86,Contratos!$A:$G,7,0),0))</f>
        <v/>
      </c>
      <c r="E86" s="6">
        <f>IF(B86="","",SUMIF(Empregados!$A:$A,B86,Empregados!$L:$L))</f>
        <v/>
      </c>
      <c r="F86" s="6">
        <f>IF(C86="","",C86-D86)</f>
        <v/>
      </c>
      <c r="G86" s="8" t="n"/>
      <c r="H86" s="3">
        <f>IF(E86="","",IF(G86="","EM ATRASO",IF(G86&gt;=E86,"CONFORME","EM ATRASO")))</f>
        <v/>
      </c>
    </row>
    <row r="87">
      <c r="C87" s="8" t="n"/>
      <c r="D87" s="6">
        <f>IF(C87="","",C87*IFERROR(VLOOKUP(B87,Contratos!$A:$G,7,0),0))</f>
        <v/>
      </c>
      <c r="E87" s="6">
        <f>IF(B87="","",SUMIF(Empregados!$A:$A,B87,Empregados!$L:$L))</f>
        <v/>
      </c>
      <c r="F87" s="6">
        <f>IF(C87="","",C87-D87)</f>
        <v/>
      </c>
      <c r="G87" s="8" t="n"/>
      <c r="H87" s="3">
        <f>IF(E87="","",IF(G87="","EM ATRASO",IF(G87&gt;=E87,"CONFORME","EM ATRASO")))</f>
        <v/>
      </c>
    </row>
    <row r="88">
      <c r="C88" s="8" t="n"/>
      <c r="D88" s="6">
        <f>IF(C88="","",C88*IFERROR(VLOOKUP(B88,Contratos!$A:$G,7,0),0))</f>
        <v/>
      </c>
      <c r="E88" s="6">
        <f>IF(B88="","",SUMIF(Empregados!$A:$A,B88,Empregados!$L:$L))</f>
        <v/>
      </c>
      <c r="F88" s="6">
        <f>IF(C88="","",C88-D88)</f>
        <v/>
      </c>
      <c r="G88" s="8" t="n"/>
      <c r="H88" s="3">
        <f>IF(E88="","",IF(G88="","EM ATRASO",IF(G88&gt;=E88,"CONFORME","EM ATRASO")))</f>
        <v/>
      </c>
    </row>
    <row r="89">
      <c r="C89" s="8" t="n"/>
      <c r="D89" s="6">
        <f>IF(C89="","",C89*IFERROR(VLOOKUP(B89,Contratos!$A:$G,7,0),0))</f>
        <v/>
      </c>
      <c r="E89" s="6">
        <f>IF(B89="","",SUMIF(Empregados!$A:$A,B89,Empregados!$L:$L))</f>
        <v/>
      </c>
      <c r="F89" s="6">
        <f>IF(C89="","",C89-D89)</f>
        <v/>
      </c>
      <c r="G89" s="8" t="n"/>
      <c r="H89" s="3">
        <f>IF(E89="","",IF(G89="","EM ATRASO",IF(G89&gt;=E89,"CONFORME","EM ATRASO")))</f>
        <v/>
      </c>
    </row>
    <row r="90">
      <c r="C90" s="8" t="n"/>
      <c r="D90" s="6">
        <f>IF(C90="","",C90*IFERROR(VLOOKUP(B90,Contratos!$A:$G,7,0),0))</f>
        <v/>
      </c>
      <c r="E90" s="6">
        <f>IF(B90="","",SUMIF(Empregados!$A:$A,B90,Empregados!$L:$L))</f>
        <v/>
      </c>
      <c r="F90" s="6">
        <f>IF(C90="","",C90-D90)</f>
        <v/>
      </c>
      <c r="G90" s="8" t="n"/>
      <c r="H90" s="3">
        <f>IF(E90="","",IF(G90="","EM ATRASO",IF(G90&gt;=E90,"CONFORME","EM ATRASO")))</f>
        <v/>
      </c>
    </row>
    <row r="91">
      <c r="C91" s="8" t="n"/>
      <c r="D91" s="6">
        <f>IF(C91="","",C91*IFERROR(VLOOKUP(B91,Contratos!$A:$G,7,0),0))</f>
        <v/>
      </c>
      <c r="E91" s="6">
        <f>IF(B91="","",SUMIF(Empregados!$A:$A,B91,Empregados!$L:$L))</f>
        <v/>
      </c>
      <c r="F91" s="6">
        <f>IF(C91="","",C91-D91)</f>
        <v/>
      </c>
      <c r="G91" s="8" t="n"/>
      <c r="H91" s="3">
        <f>IF(E91="","",IF(G91="","EM ATRASO",IF(G91&gt;=E91,"CONFORME","EM ATRASO")))</f>
        <v/>
      </c>
    </row>
    <row r="92">
      <c r="C92" s="8" t="n"/>
      <c r="D92" s="6">
        <f>IF(C92="","",C92*IFERROR(VLOOKUP(B92,Contratos!$A:$G,7,0),0))</f>
        <v/>
      </c>
      <c r="E92" s="6">
        <f>IF(B92="","",SUMIF(Empregados!$A:$A,B92,Empregados!$L:$L))</f>
        <v/>
      </c>
      <c r="F92" s="6">
        <f>IF(C92="","",C92-D92)</f>
        <v/>
      </c>
      <c r="G92" s="8" t="n"/>
      <c r="H92" s="3">
        <f>IF(E92="","",IF(G92="","EM ATRASO",IF(G92&gt;=E92,"CONFORME","EM ATRASO")))</f>
        <v/>
      </c>
    </row>
    <row r="93">
      <c r="C93" s="8" t="n"/>
      <c r="D93" s="6">
        <f>IF(C93="","",C93*IFERROR(VLOOKUP(B93,Contratos!$A:$G,7,0),0))</f>
        <v/>
      </c>
      <c r="E93" s="6">
        <f>IF(B93="","",SUMIF(Empregados!$A:$A,B93,Empregados!$L:$L))</f>
        <v/>
      </c>
      <c r="F93" s="6">
        <f>IF(C93="","",C93-D93)</f>
        <v/>
      </c>
      <c r="G93" s="8" t="n"/>
      <c r="H93" s="3">
        <f>IF(E93="","",IF(G93="","EM ATRASO",IF(G93&gt;=E93,"CONFORME","EM ATRASO")))</f>
        <v/>
      </c>
    </row>
    <row r="94">
      <c r="C94" s="8" t="n"/>
      <c r="D94" s="6">
        <f>IF(C94="","",C94*IFERROR(VLOOKUP(B94,Contratos!$A:$G,7,0),0))</f>
        <v/>
      </c>
      <c r="E94" s="6">
        <f>IF(B94="","",SUMIF(Empregados!$A:$A,B94,Empregados!$L:$L))</f>
        <v/>
      </c>
      <c r="F94" s="6">
        <f>IF(C94="","",C94-D94)</f>
        <v/>
      </c>
      <c r="G94" s="8" t="n"/>
      <c r="H94" s="3">
        <f>IF(E94="","",IF(G94="","EM ATRASO",IF(G94&gt;=E94,"CONFORME","EM ATRASO")))</f>
        <v/>
      </c>
    </row>
    <row r="95">
      <c r="C95" s="8" t="n"/>
      <c r="D95" s="6">
        <f>IF(C95="","",C95*IFERROR(VLOOKUP(B95,Contratos!$A:$G,7,0),0))</f>
        <v/>
      </c>
      <c r="E95" s="6">
        <f>IF(B95="","",SUMIF(Empregados!$A:$A,B95,Empregados!$L:$L))</f>
        <v/>
      </c>
      <c r="F95" s="6">
        <f>IF(C95="","",C95-D95)</f>
        <v/>
      </c>
      <c r="G95" s="8" t="n"/>
      <c r="H95" s="3">
        <f>IF(E95="","",IF(G95="","EM ATRASO",IF(G95&gt;=E95,"CONFORME","EM ATRASO")))</f>
        <v/>
      </c>
    </row>
    <row r="96">
      <c r="C96" s="8" t="n"/>
      <c r="D96" s="6">
        <f>IF(C96="","",C96*IFERROR(VLOOKUP(B96,Contratos!$A:$G,7,0),0))</f>
        <v/>
      </c>
      <c r="E96" s="6">
        <f>IF(B96="","",SUMIF(Empregados!$A:$A,B96,Empregados!$L:$L))</f>
        <v/>
      </c>
      <c r="F96" s="6">
        <f>IF(C96="","",C96-D96)</f>
        <v/>
      </c>
      <c r="G96" s="8" t="n"/>
      <c r="H96" s="3">
        <f>IF(E96="","",IF(G96="","EM ATRASO",IF(G96&gt;=E96,"CONFORME","EM ATRASO")))</f>
        <v/>
      </c>
    </row>
    <row r="97">
      <c r="C97" s="8" t="n"/>
      <c r="D97" s="6">
        <f>IF(C97="","",C97*IFERROR(VLOOKUP(B97,Contratos!$A:$G,7,0),0))</f>
        <v/>
      </c>
      <c r="E97" s="6">
        <f>IF(B97="","",SUMIF(Empregados!$A:$A,B97,Empregados!$L:$L))</f>
        <v/>
      </c>
      <c r="F97" s="6">
        <f>IF(C97="","",C97-D97)</f>
        <v/>
      </c>
      <c r="G97" s="8" t="n"/>
      <c r="H97" s="3">
        <f>IF(E97="","",IF(G97="","EM ATRASO",IF(G97&gt;=E97,"CONFORME","EM ATRASO")))</f>
        <v/>
      </c>
    </row>
    <row r="98">
      <c r="C98" s="8" t="n"/>
      <c r="D98" s="6">
        <f>IF(C98="","",C98*IFERROR(VLOOKUP(B98,Contratos!$A:$G,7,0),0))</f>
        <v/>
      </c>
      <c r="E98" s="6">
        <f>IF(B98="","",SUMIF(Empregados!$A:$A,B98,Empregados!$L:$L))</f>
        <v/>
      </c>
      <c r="F98" s="6">
        <f>IF(C98="","",C98-D98)</f>
        <v/>
      </c>
      <c r="G98" s="8" t="n"/>
      <c r="H98" s="3">
        <f>IF(E98="","",IF(G98="","EM ATRASO",IF(G98&gt;=E98,"CONFORME","EM ATRASO")))</f>
        <v/>
      </c>
    </row>
    <row r="99">
      <c r="C99" s="8" t="n"/>
      <c r="D99" s="6">
        <f>IF(C99="","",C99*IFERROR(VLOOKUP(B99,Contratos!$A:$G,7,0),0))</f>
        <v/>
      </c>
      <c r="E99" s="6">
        <f>IF(B99="","",SUMIF(Empregados!$A:$A,B99,Empregados!$L:$L))</f>
        <v/>
      </c>
      <c r="F99" s="6">
        <f>IF(C99="","",C99-D99)</f>
        <v/>
      </c>
      <c r="G99" s="8" t="n"/>
      <c r="H99" s="3">
        <f>IF(E99="","",IF(G99="","EM ATRASO",IF(G99&gt;=E99,"CONFORME","EM ATRASO")))</f>
        <v/>
      </c>
    </row>
    <row r="100">
      <c r="C100" s="8" t="n"/>
      <c r="D100" s="6">
        <f>IF(C100="","",C100*IFERROR(VLOOKUP(B100,Contratos!$A:$G,7,0),0))</f>
        <v/>
      </c>
      <c r="E100" s="6">
        <f>IF(B100="","",SUMIF(Empregados!$A:$A,B100,Empregados!$L:$L))</f>
        <v/>
      </c>
      <c r="F100" s="6">
        <f>IF(C100="","",C100-D100)</f>
        <v/>
      </c>
      <c r="G100" s="8" t="n"/>
      <c r="H100" s="3">
        <f>IF(E100="","",IF(G100="","EM ATRASO",IF(G100&gt;=E100,"CONFORME","EM ATRASO")))</f>
        <v/>
      </c>
    </row>
    <row r="101">
      <c r="C101" s="8" t="n"/>
      <c r="D101" s="6">
        <f>IF(C101="","",C101*IFERROR(VLOOKUP(B101,Contratos!$A:$G,7,0),0))</f>
        <v/>
      </c>
      <c r="E101" s="6">
        <f>IF(B101="","",SUMIF(Empregados!$A:$A,B101,Empregados!$L:$L))</f>
        <v/>
      </c>
      <c r="F101" s="6">
        <f>IF(C101="","",C101-D101)</f>
        <v/>
      </c>
      <c r="G101" s="8" t="n"/>
      <c r="H101" s="3">
        <f>IF(E101="","",IF(G101="","EM ATRASO",IF(G101&gt;=E101,"CONFORME","EM ATRASO")))</f>
        <v/>
      </c>
    </row>
    <row r="102">
      <c r="C102" s="8" t="n"/>
      <c r="D102" s="6">
        <f>IF(C102="","",C102*IFERROR(VLOOKUP(B102,Contratos!$A:$G,7,0),0))</f>
        <v/>
      </c>
      <c r="E102" s="6">
        <f>IF(B102="","",SUMIF(Empregados!$A:$A,B102,Empregados!$L:$L))</f>
        <v/>
      </c>
      <c r="F102" s="6">
        <f>IF(C102="","",C102-D102)</f>
        <v/>
      </c>
      <c r="G102" s="8" t="n"/>
      <c r="H102" s="3">
        <f>IF(E102="","",IF(G102="","EM ATRASO",IF(G102&gt;=E102,"CONFORME","EM ATRASO")))</f>
        <v/>
      </c>
    </row>
    <row r="103">
      <c r="C103" s="8" t="n"/>
      <c r="D103" s="6">
        <f>IF(C103="","",C103*IFERROR(VLOOKUP(B103,Contratos!$A:$G,7,0),0))</f>
        <v/>
      </c>
      <c r="E103" s="6">
        <f>IF(B103="","",SUMIF(Empregados!$A:$A,B103,Empregados!$L:$L))</f>
        <v/>
      </c>
      <c r="F103" s="6">
        <f>IF(C103="","",C103-D103)</f>
        <v/>
      </c>
      <c r="G103" s="8" t="n"/>
      <c r="H103" s="3">
        <f>IF(E103="","",IF(G103="","EM ATRASO",IF(G103&gt;=E103,"CONFORME","EM ATRASO")))</f>
        <v/>
      </c>
    </row>
    <row r="104">
      <c r="C104" s="8" t="n"/>
      <c r="D104" s="6">
        <f>IF(C104="","",C104*IFERROR(VLOOKUP(B104,Contratos!$A:$G,7,0),0))</f>
        <v/>
      </c>
      <c r="E104" s="6">
        <f>IF(B104="","",SUMIF(Empregados!$A:$A,B104,Empregados!$L:$L))</f>
        <v/>
      </c>
      <c r="F104" s="6">
        <f>IF(C104="","",C104-D104)</f>
        <v/>
      </c>
      <c r="G104" s="8" t="n"/>
      <c r="H104" s="3">
        <f>IF(E104="","",IF(G104="","EM ATRASO",IF(G104&gt;=E104,"CONFORME","EM ATRASO")))</f>
        <v/>
      </c>
    </row>
    <row r="105">
      <c r="C105" s="8" t="n"/>
      <c r="D105" s="6">
        <f>IF(C105="","",C105*IFERROR(VLOOKUP(B105,Contratos!$A:$G,7,0),0))</f>
        <v/>
      </c>
      <c r="E105" s="6">
        <f>IF(B105="","",SUMIF(Empregados!$A:$A,B105,Empregados!$L:$L))</f>
        <v/>
      </c>
      <c r="F105" s="6">
        <f>IF(C105="","",C105-D105)</f>
        <v/>
      </c>
      <c r="G105" s="8" t="n"/>
      <c r="H105" s="3">
        <f>IF(E105="","",IF(G105="","EM ATRASO",IF(G105&gt;=E105,"CONFORME","EM ATRASO")))</f>
        <v/>
      </c>
    </row>
    <row r="106">
      <c r="C106" s="8" t="n"/>
      <c r="D106" s="6">
        <f>IF(C106="","",C106*IFERROR(VLOOKUP(B106,Contratos!$A:$G,7,0),0))</f>
        <v/>
      </c>
      <c r="E106" s="6">
        <f>IF(B106="","",SUMIF(Empregados!$A:$A,B106,Empregados!$L:$L))</f>
        <v/>
      </c>
      <c r="F106" s="6">
        <f>IF(C106="","",C106-D106)</f>
        <v/>
      </c>
      <c r="G106" s="8" t="n"/>
      <c r="H106" s="3">
        <f>IF(E106="","",IF(G106="","EM ATRASO",IF(G106&gt;=E106,"CONFORME","EM ATRASO")))</f>
        <v/>
      </c>
    </row>
    <row r="107">
      <c r="C107" s="8" t="n"/>
      <c r="D107" s="6">
        <f>IF(C107="","",C107*IFERROR(VLOOKUP(B107,Contratos!$A:$G,7,0),0))</f>
        <v/>
      </c>
      <c r="E107" s="6">
        <f>IF(B107="","",SUMIF(Empregados!$A:$A,B107,Empregados!$L:$L))</f>
        <v/>
      </c>
      <c r="F107" s="6">
        <f>IF(C107="","",C107-D107)</f>
        <v/>
      </c>
      <c r="G107" s="8" t="n"/>
      <c r="H107" s="3">
        <f>IF(E107="","",IF(G107="","EM ATRASO",IF(G107&gt;=E107,"CONFORME","EM ATRASO")))</f>
        <v/>
      </c>
    </row>
    <row r="108">
      <c r="C108" s="8" t="n"/>
      <c r="D108" s="6">
        <f>IF(C108="","",C108*IFERROR(VLOOKUP(B108,Contratos!$A:$G,7,0),0))</f>
        <v/>
      </c>
      <c r="E108" s="6">
        <f>IF(B108="","",SUMIF(Empregados!$A:$A,B108,Empregados!$L:$L))</f>
        <v/>
      </c>
      <c r="F108" s="6">
        <f>IF(C108="","",C108-D108)</f>
        <v/>
      </c>
      <c r="G108" s="8" t="n"/>
      <c r="H108" s="3">
        <f>IF(E108="","",IF(G108="","EM ATRASO",IF(G108&gt;=E108,"CONFORME","EM ATRASO")))</f>
        <v/>
      </c>
    </row>
    <row r="109">
      <c r="C109" s="8" t="n"/>
      <c r="D109" s="6">
        <f>IF(C109="","",C109*IFERROR(VLOOKUP(B109,Contratos!$A:$G,7,0),0))</f>
        <v/>
      </c>
      <c r="E109" s="6">
        <f>IF(B109="","",SUMIF(Empregados!$A:$A,B109,Empregados!$L:$L))</f>
        <v/>
      </c>
      <c r="F109" s="6">
        <f>IF(C109="","",C109-D109)</f>
        <v/>
      </c>
      <c r="G109" s="8" t="n"/>
      <c r="H109" s="3">
        <f>IF(E109="","",IF(G109="","EM ATRASO",IF(G109&gt;=E109,"CONFORME","EM ATRASO")))</f>
        <v/>
      </c>
    </row>
    <row r="110">
      <c r="C110" s="8" t="n"/>
      <c r="D110" s="6">
        <f>IF(C110="","",C110*IFERROR(VLOOKUP(B110,Contratos!$A:$G,7,0),0))</f>
        <v/>
      </c>
      <c r="E110" s="6">
        <f>IF(B110="","",SUMIF(Empregados!$A:$A,B110,Empregados!$L:$L))</f>
        <v/>
      </c>
      <c r="F110" s="6">
        <f>IF(C110="","",C110-D110)</f>
        <v/>
      </c>
      <c r="G110" s="8" t="n"/>
      <c r="H110" s="3">
        <f>IF(E110="","",IF(G110="","EM ATRASO",IF(G110&gt;=E110,"CONFORME","EM ATRASO")))</f>
        <v/>
      </c>
    </row>
    <row r="111">
      <c r="C111" s="8" t="n"/>
      <c r="D111" s="6">
        <f>IF(C111="","",C111*IFERROR(VLOOKUP(B111,Contratos!$A:$G,7,0),0))</f>
        <v/>
      </c>
      <c r="E111" s="6">
        <f>IF(B111="","",SUMIF(Empregados!$A:$A,B111,Empregados!$L:$L))</f>
        <v/>
      </c>
      <c r="F111" s="6">
        <f>IF(C111="","",C111-D111)</f>
        <v/>
      </c>
      <c r="G111" s="8" t="n"/>
      <c r="H111" s="3">
        <f>IF(E111="","",IF(G111="","EM ATRASO",IF(G111&gt;=E111,"CONFORME","EM ATRASO")))</f>
        <v/>
      </c>
    </row>
    <row r="112">
      <c r="C112" s="8" t="n"/>
      <c r="D112" s="6">
        <f>IF(C112="","",C112*IFERROR(VLOOKUP(B112,Contratos!$A:$G,7,0),0))</f>
        <v/>
      </c>
      <c r="E112" s="6">
        <f>IF(B112="","",SUMIF(Empregados!$A:$A,B112,Empregados!$L:$L))</f>
        <v/>
      </c>
      <c r="F112" s="6">
        <f>IF(C112="","",C112-D112)</f>
        <v/>
      </c>
      <c r="G112" s="8" t="n"/>
      <c r="H112" s="3">
        <f>IF(E112="","",IF(G112="","EM ATRASO",IF(G112&gt;=E112,"CONFORME","EM ATRASO")))</f>
        <v/>
      </c>
    </row>
    <row r="113">
      <c r="C113" s="8" t="n"/>
      <c r="D113" s="6">
        <f>IF(C113="","",C113*IFERROR(VLOOKUP(B113,Contratos!$A:$G,7,0),0))</f>
        <v/>
      </c>
      <c r="E113" s="6">
        <f>IF(B113="","",SUMIF(Empregados!$A:$A,B113,Empregados!$L:$L))</f>
        <v/>
      </c>
      <c r="F113" s="6">
        <f>IF(C113="","",C113-D113)</f>
        <v/>
      </c>
      <c r="G113" s="8" t="n"/>
      <c r="H113" s="3">
        <f>IF(E113="","",IF(G113="","EM ATRASO",IF(G113&gt;=E113,"CONFORME","EM ATRASO")))</f>
        <v/>
      </c>
    </row>
    <row r="114">
      <c r="C114" s="8" t="n"/>
      <c r="D114" s="6">
        <f>IF(C114="","",C114*IFERROR(VLOOKUP(B114,Contratos!$A:$G,7,0),0))</f>
        <v/>
      </c>
      <c r="E114" s="6">
        <f>IF(B114="","",SUMIF(Empregados!$A:$A,B114,Empregados!$L:$L))</f>
        <v/>
      </c>
      <c r="F114" s="6">
        <f>IF(C114="","",C114-D114)</f>
        <v/>
      </c>
      <c r="G114" s="8" t="n"/>
      <c r="H114" s="3">
        <f>IF(E114="","",IF(G114="","EM ATRASO",IF(G114&gt;=E114,"CONFORME","EM ATRASO")))</f>
        <v/>
      </c>
    </row>
    <row r="115">
      <c r="C115" s="8" t="n"/>
      <c r="D115" s="6">
        <f>IF(C115="","",C115*IFERROR(VLOOKUP(B115,Contratos!$A:$G,7,0),0))</f>
        <v/>
      </c>
      <c r="E115" s="6">
        <f>IF(B115="","",SUMIF(Empregados!$A:$A,B115,Empregados!$L:$L))</f>
        <v/>
      </c>
      <c r="F115" s="6">
        <f>IF(C115="","",C115-D115)</f>
        <v/>
      </c>
      <c r="G115" s="8" t="n"/>
      <c r="H115" s="3">
        <f>IF(E115="","",IF(G115="","EM ATRASO",IF(G115&gt;=E115,"CONFORME","EM ATRASO")))</f>
        <v/>
      </c>
    </row>
    <row r="116">
      <c r="C116" s="8" t="n"/>
      <c r="D116" s="6">
        <f>IF(C116="","",C116*IFERROR(VLOOKUP(B116,Contratos!$A:$G,7,0),0))</f>
        <v/>
      </c>
      <c r="E116" s="6">
        <f>IF(B116="","",SUMIF(Empregados!$A:$A,B116,Empregados!$L:$L))</f>
        <v/>
      </c>
      <c r="F116" s="6">
        <f>IF(C116="","",C116-D116)</f>
        <v/>
      </c>
      <c r="G116" s="8" t="n"/>
      <c r="H116" s="3">
        <f>IF(E116="","",IF(G116="","EM ATRASO",IF(G116&gt;=E116,"CONFORME","EM ATRASO")))</f>
        <v/>
      </c>
    </row>
    <row r="117">
      <c r="C117" s="8" t="n"/>
      <c r="D117" s="6">
        <f>IF(C117="","",C117*IFERROR(VLOOKUP(B117,Contratos!$A:$G,7,0),0))</f>
        <v/>
      </c>
      <c r="E117" s="6">
        <f>IF(B117="","",SUMIF(Empregados!$A:$A,B117,Empregados!$L:$L))</f>
        <v/>
      </c>
      <c r="F117" s="6">
        <f>IF(C117="","",C117-D117)</f>
        <v/>
      </c>
      <c r="G117" s="8" t="n"/>
      <c r="H117" s="3">
        <f>IF(E117="","",IF(G117="","EM ATRASO",IF(G117&gt;=E117,"CONFORME","EM ATRASO")))</f>
        <v/>
      </c>
    </row>
    <row r="118">
      <c r="C118" s="8" t="n"/>
      <c r="D118" s="6">
        <f>IF(C118="","",C118*IFERROR(VLOOKUP(B118,Contratos!$A:$G,7,0),0))</f>
        <v/>
      </c>
      <c r="E118" s="6">
        <f>IF(B118="","",SUMIF(Empregados!$A:$A,B118,Empregados!$L:$L))</f>
        <v/>
      </c>
      <c r="F118" s="6">
        <f>IF(C118="","",C118-D118)</f>
        <v/>
      </c>
      <c r="G118" s="8" t="n"/>
      <c r="H118" s="3">
        <f>IF(E118="","",IF(G118="","EM ATRASO",IF(G118&gt;=E118,"CONFORME","EM ATRASO")))</f>
        <v/>
      </c>
    </row>
    <row r="119">
      <c r="C119" s="8" t="n"/>
      <c r="D119" s="6">
        <f>IF(C119="","",C119*IFERROR(VLOOKUP(B119,Contratos!$A:$G,7,0),0))</f>
        <v/>
      </c>
      <c r="E119" s="6">
        <f>IF(B119="","",SUMIF(Empregados!$A:$A,B119,Empregados!$L:$L))</f>
        <v/>
      </c>
      <c r="F119" s="6">
        <f>IF(C119="","",C119-D119)</f>
        <v/>
      </c>
      <c r="G119" s="8" t="n"/>
      <c r="H119" s="3">
        <f>IF(E119="","",IF(G119="","EM ATRASO",IF(G119&gt;=E119,"CONFORME","EM ATRASO")))</f>
        <v/>
      </c>
    </row>
    <row r="120">
      <c r="C120" s="8" t="n"/>
      <c r="D120" s="6">
        <f>IF(C120="","",C120*IFERROR(VLOOKUP(B120,Contratos!$A:$G,7,0),0))</f>
        <v/>
      </c>
      <c r="E120" s="6">
        <f>IF(B120="","",SUMIF(Empregados!$A:$A,B120,Empregados!$L:$L))</f>
        <v/>
      </c>
      <c r="F120" s="6">
        <f>IF(C120="","",C120-D120)</f>
        <v/>
      </c>
      <c r="G120" s="8" t="n"/>
      <c r="H120" s="3">
        <f>IF(E120="","",IF(G120="","EM ATRASO",IF(G120&gt;=E120,"CONFORME","EM ATRASO")))</f>
        <v/>
      </c>
    </row>
    <row r="121">
      <c r="C121" s="8" t="n"/>
      <c r="D121" s="6">
        <f>IF(C121="","",C121*IFERROR(VLOOKUP(B121,Contratos!$A:$G,7,0),0))</f>
        <v/>
      </c>
      <c r="E121" s="6">
        <f>IF(B121="","",SUMIF(Empregados!$A:$A,B121,Empregados!$L:$L))</f>
        <v/>
      </c>
      <c r="F121" s="6">
        <f>IF(C121="","",C121-D121)</f>
        <v/>
      </c>
      <c r="G121" s="8" t="n"/>
      <c r="H121" s="3">
        <f>IF(E121="","",IF(G121="","EM ATRASO",IF(G121&gt;=E121,"CONFORME","EM ATRASO")))</f>
        <v/>
      </c>
    </row>
  </sheetData>
  <conditionalFormatting sqref="H2:H121">
    <cfRule type="cellIs" priority="1" operator="equal" dxfId="0">
      <formula>"CONFORME"</formula>
    </cfRule>
    <cfRule type="cellIs" priority="2" operator="equal" dxfId="1">
      <formula>"EM ATRASO"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0" customWidth="1" min="4" max="4"/>
    <col width="18" customWidth="1" min="5" max="5"/>
    <col width="14" customWidth="1" min="6" max="6"/>
    <col width="24" customWidth="1" min="7" max="7"/>
    <col width="16" customWidth="1" min="8" max="8"/>
    <col width="4" customWidth="1" min="9" max="9"/>
    <col width="13" customWidth="1" min="10" max="10"/>
    <col width="16" customWidth="1" min="11" max="11"/>
    <col width="30" customWidth="1" min="12" max="12"/>
    <col width="14" customWidth="1" min="13" max="13"/>
  </cols>
  <sheetData>
    <row r="1">
      <c r="A1" s="2" t="inlineStr">
        <is>
          <t>Nº Contrato</t>
        </is>
      </c>
      <c r="B1" s="2" t="inlineStr">
        <is>
          <t>Saldo Inicial</t>
        </is>
      </c>
      <c r="C1" s="2" t="inlineStr">
        <is>
          <t>Provisionado Acumulado</t>
        </is>
      </c>
      <c r="D1" s="2" t="inlineStr">
        <is>
          <t>Depositado Acumulado</t>
        </is>
      </c>
      <c r="E1" s="2" t="inlineStr">
        <is>
          <t>Liberado Acumulado</t>
        </is>
      </c>
      <c r="F1" s="2" t="inlineStr">
        <is>
          <t>Saldo Final</t>
        </is>
      </c>
      <c r="G1" s="2" t="inlineStr">
        <is>
          <t>Provisão Devida Acumulada</t>
        </is>
      </c>
      <c r="H1" s="2" t="inlineStr">
        <is>
          <t>Alerta</t>
        </is>
      </c>
      <c r="J1" s="2" t="inlineStr">
        <is>
          <t>Nº Contrato</t>
        </is>
      </c>
      <c r="K1" s="2" t="inlineStr">
        <is>
          <t>Data Liberação</t>
        </is>
      </c>
      <c r="L1" s="2" t="inlineStr">
        <is>
          <t>Tipo (13º / Férias / Rescisório)</t>
        </is>
      </c>
      <c r="M1" s="2" t="inlineStr">
        <is>
          <t>Valor (R$)</t>
        </is>
      </c>
    </row>
    <row r="2">
      <c r="A2" s="3">
        <f>IF(Contratos!A2="","",Contratos!A2)</f>
        <v/>
      </c>
      <c r="B2" s="6">
        <f>IF($A2="","",IFERROR(VLOOKUP($A2,Contratos!$A:$I,8,0),0))</f>
        <v/>
      </c>
      <c r="C2" s="6">
        <f>IF($A2="","",SUMIF(Medicao_Mensal!$B:$B,$A2,Medicao_Mensal!$E:$E))</f>
        <v/>
      </c>
      <c r="D2" s="6">
        <f>IF($A2="","",SUMIF(Medicao_Mensal!$B:$B,$A2,Medicao_Mensal!$G:$G))</f>
        <v/>
      </c>
      <c r="E2" s="6">
        <f>IF($A2="","",SUMIF($J:$J,$A2,$M:$M))</f>
        <v/>
      </c>
      <c r="F2" s="6">
        <f>IF($A2="","",B2+D2-E2)</f>
        <v/>
      </c>
      <c r="G2" s="6">
        <f>IF($A2="","",C2)</f>
        <v/>
      </c>
      <c r="H2" s="3">
        <f>IF($A2="","",IF(F2&lt;C2,"SALDO INSUFICIENTE","OK"))</f>
        <v/>
      </c>
      <c r="J2" s="3" t="inlineStr">
        <is>
          <t>001/2025</t>
        </is>
      </c>
      <c r="K2" s="5" t="n">
        <v>46037</v>
      </c>
      <c r="L2" s="3" t="inlineStr">
        <is>
          <t>13º</t>
        </is>
      </c>
      <c r="M2" s="6" t="n">
        <v>8000</v>
      </c>
    </row>
    <row r="3">
      <c r="A3" s="3">
        <f>IF(Contratos!A3="","",Contratos!A3)</f>
        <v/>
      </c>
      <c r="B3" s="6">
        <f>IF($A3="","",IFERROR(VLOOKUP($A3,Contratos!$A:$I,8,0),0))</f>
        <v/>
      </c>
      <c r="C3" s="6">
        <f>IF($A3="","",SUMIF(Medicao_Mensal!$B:$B,$A3,Medicao_Mensal!$E:$E))</f>
        <v/>
      </c>
      <c r="D3" s="6">
        <f>IF($A3="","",SUMIF(Medicao_Mensal!$B:$B,$A3,Medicao_Mensal!$G:$G))</f>
        <v/>
      </c>
      <c r="E3" s="6">
        <f>IF($A3="","",SUMIF($J:$J,$A3,$M:$M))</f>
        <v/>
      </c>
      <c r="F3" s="6">
        <f>IF($A3="","",B3+D3-E3)</f>
        <v/>
      </c>
      <c r="G3" s="6">
        <f>IF($A3="","",C3)</f>
        <v/>
      </c>
      <c r="H3" s="3">
        <f>IF($A3="","",IF(F3&lt;C3,"SALDO INSUFICIENTE","OK"))</f>
        <v/>
      </c>
      <c r="J3" s="3" t="inlineStr">
        <is>
          <t>002/2025</t>
        </is>
      </c>
      <c r="K3" s="5" t="n">
        <v>46063</v>
      </c>
      <c r="L3" s="3" t="inlineStr">
        <is>
          <t>Férias</t>
        </is>
      </c>
      <c r="M3" s="6" t="n">
        <v>3500</v>
      </c>
    </row>
    <row r="4">
      <c r="A4" s="3">
        <f>IF(Contratos!A4="","",Contratos!A4)</f>
        <v/>
      </c>
      <c r="B4" s="6">
        <f>IF($A4="","",IFERROR(VLOOKUP($A4,Contratos!$A:$I,8,0),0))</f>
        <v/>
      </c>
      <c r="C4" s="6">
        <f>IF($A4="","",SUMIF(Medicao_Mensal!$B:$B,$A4,Medicao_Mensal!$E:$E))</f>
        <v/>
      </c>
      <c r="D4" s="6">
        <f>IF($A4="","",SUMIF(Medicao_Mensal!$B:$B,$A4,Medicao_Mensal!$G:$G))</f>
        <v/>
      </c>
      <c r="E4" s="6">
        <f>IF($A4="","",SUMIF($J:$J,$A4,$M:$M))</f>
        <v/>
      </c>
      <c r="F4" s="6">
        <f>IF($A4="","",B4+D4-E4)</f>
        <v/>
      </c>
      <c r="G4" s="6">
        <f>IF($A4="","",C4)</f>
        <v/>
      </c>
      <c r="H4" s="3">
        <f>IF($A4="","",IF(F4&lt;C4,"SALDO INSUFICIENTE","OK"))</f>
        <v/>
      </c>
    </row>
    <row r="5">
      <c r="A5" s="3">
        <f>IF(Contratos!A5="","",Contratos!A5)</f>
        <v/>
      </c>
      <c r="B5" s="6">
        <f>IF($A5="","",IFERROR(VLOOKUP($A5,Contratos!$A:$I,8,0),0))</f>
        <v/>
      </c>
      <c r="C5" s="6">
        <f>IF($A5="","",SUMIF(Medicao_Mensal!$B:$B,$A5,Medicao_Mensal!$E:$E))</f>
        <v/>
      </c>
      <c r="D5" s="6">
        <f>IF($A5="","",SUMIF(Medicao_Mensal!$B:$B,$A5,Medicao_Mensal!$G:$G))</f>
        <v/>
      </c>
      <c r="E5" s="6">
        <f>IF($A5="","",SUMIF($J:$J,$A5,$M:$M))</f>
        <v/>
      </c>
      <c r="F5" s="6">
        <f>IF($A5="","",B5+D5-E5)</f>
        <v/>
      </c>
      <c r="G5" s="6">
        <f>IF($A5="","",C5)</f>
        <v/>
      </c>
      <c r="H5" s="3">
        <f>IF($A5="","",IF(F5&lt;C5,"SALDO INSUFICIENTE","OK"))</f>
        <v/>
      </c>
    </row>
    <row r="6">
      <c r="A6" s="3">
        <f>IF(Contratos!A6="","",Contratos!A6)</f>
        <v/>
      </c>
      <c r="B6" s="6">
        <f>IF($A6="","",IFERROR(VLOOKUP($A6,Contratos!$A:$I,8,0),0))</f>
        <v/>
      </c>
      <c r="C6" s="6">
        <f>IF($A6="","",SUMIF(Medicao_Mensal!$B:$B,$A6,Medicao_Mensal!$E:$E))</f>
        <v/>
      </c>
      <c r="D6" s="6">
        <f>IF($A6="","",SUMIF(Medicao_Mensal!$B:$B,$A6,Medicao_Mensal!$G:$G))</f>
        <v/>
      </c>
      <c r="E6" s="6">
        <f>IF($A6="","",SUMIF($J:$J,$A6,$M:$M))</f>
        <v/>
      </c>
      <c r="F6" s="6">
        <f>IF($A6="","",B6+D6-E6)</f>
        <v/>
      </c>
      <c r="G6" s="6">
        <f>IF($A6="","",C6)</f>
        <v/>
      </c>
      <c r="H6" s="3">
        <f>IF($A6="","",IF(F6&lt;C6,"SALDO INSUFICIENTE","OK"))</f>
        <v/>
      </c>
    </row>
    <row r="7">
      <c r="A7" s="3">
        <f>IF(Contratos!A7="","",Contratos!A7)</f>
        <v/>
      </c>
      <c r="B7" s="6">
        <f>IF($A7="","",IFERROR(VLOOKUP($A7,Contratos!$A:$I,8,0),0))</f>
        <v/>
      </c>
      <c r="C7" s="6">
        <f>IF($A7="","",SUMIF(Medicao_Mensal!$B:$B,$A7,Medicao_Mensal!$E:$E))</f>
        <v/>
      </c>
      <c r="D7" s="6">
        <f>IF($A7="","",SUMIF(Medicao_Mensal!$B:$B,$A7,Medicao_Mensal!$G:$G))</f>
        <v/>
      </c>
      <c r="E7" s="6">
        <f>IF($A7="","",SUMIF($J:$J,$A7,$M:$M))</f>
        <v/>
      </c>
      <c r="F7" s="6">
        <f>IF($A7="","",B7+D7-E7)</f>
        <v/>
      </c>
      <c r="G7" s="6">
        <f>IF($A7="","",C7)</f>
        <v/>
      </c>
      <c r="H7" s="3">
        <f>IF($A7="","",IF(F7&lt;C7,"SALDO INSUFICIENTE","OK"))</f>
        <v/>
      </c>
    </row>
    <row r="8">
      <c r="A8" s="3">
        <f>IF(Contratos!A8="","",Contratos!A8)</f>
        <v/>
      </c>
      <c r="B8" s="6">
        <f>IF($A8="","",IFERROR(VLOOKUP($A8,Contratos!$A:$I,8,0),0))</f>
        <v/>
      </c>
      <c r="C8" s="6">
        <f>IF($A8="","",SUMIF(Medicao_Mensal!$B:$B,$A8,Medicao_Mensal!$E:$E))</f>
        <v/>
      </c>
      <c r="D8" s="6">
        <f>IF($A8="","",SUMIF(Medicao_Mensal!$B:$B,$A8,Medicao_Mensal!$G:$G))</f>
        <v/>
      </c>
      <c r="E8" s="6">
        <f>IF($A8="","",SUMIF($J:$J,$A8,$M:$M))</f>
        <v/>
      </c>
      <c r="F8" s="6">
        <f>IF($A8="","",B8+D8-E8)</f>
        <v/>
      </c>
      <c r="G8" s="6">
        <f>IF($A8="","",C8)</f>
        <v/>
      </c>
      <c r="H8" s="3">
        <f>IF($A8="","",IF(F8&lt;C8,"SALDO INSUFICIENTE","OK"))</f>
        <v/>
      </c>
    </row>
    <row r="9">
      <c r="A9" s="3">
        <f>IF(Contratos!A9="","",Contratos!A9)</f>
        <v/>
      </c>
      <c r="B9" s="6">
        <f>IF($A9="","",IFERROR(VLOOKUP($A9,Contratos!$A:$I,8,0),0))</f>
        <v/>
      </c>
      <c r="C9" s="6">
        <f>IF($A9="","",SUMIF(Medicao_Mensal!$B:$B,$A9,Medicao_Mensal!$E:$E))</f>
        <v/>
      </c>
      <c r="D9" s="6">
        <f>IF($A9="","",SUMIF(Medicao_Mensal!$B:$B,$A9,Medicao_Mensal!$G:$G))</f>
        <v/>
      </c>
      <c r="E9" s="6">
        <f>IF($A9="","",SUMIF($J:$J,$A9,$M:$M))</f>
        <v/>
      </c>
      <c r="F9" s="6">
        <f>IF($A9="","",B9+D9-E9)</f>
        <v/>
      </c>
      <c r="G9" s="6">
        <f>IF($A9="","",C9)</f>
        <v/>
      </c>
      <c r="H9" s="3">
        <f>IF($A9="","",IF(F9&lt;C9,"SALDO INSUFICIENTE","OK"))</f>
        <v/>
      </c>
    </row>
    <row r="10">
      <c r="A10" s="3">
        <f>IF(Contratos!A10="","",Contratos!A10)</f>
        <v/>
      </c>
      <c r="B10" s="6">
        <f>IF($A10="","",IFERROR(VLOOKUP($A10,Contratos!$A:$I,8,0),0))</f>
        <v/>
      </c>
      <c r="C10" s="6">
        <f>IF($A10="","",SUMIF(Medicao_Mensal!$B:$B,$A10,Medicao_Mensal!$E:$E))</f>
        <v/>
      </c>
      <c r="D10" s="6">
        <f>IF($A10="","",SUMIF(Medicao_Mensal!$B:$B,$A10,Medicao_Mensal!$G:$G))</f>
        <v/>
      </c>
      <c r="E10" s="6">
        <f>IF($A10="","",SUMIF($J:$J,$A10,$M:$M))</f>
        <v/>
      </c>
      <c r="F10" s="6">
        <f>IF($A10="","",B10+D10-E10)</f>
        <v/>
      </c>
      <c r="G10" s="6">
        <f>IF($A10="","",C10)</f>
        <v/>
      </c>
      <c r="H10" s="3">
        <f>IF($A10="","",IF(F10&lt;C10,"SALDO INSUFICIENTE","OK"))</f>
        <v/>
      </c>
    </row>
    <row r="11">
      <c r="A11" s="3">
        <f>IF(Contratos!A11="","",Contratos!A11)</f>
        <v/>
      </c>
      <c r="B11" s="6">
        <f>IF($A11="","",IFERROR(VLOOKUP($A11,Contratos!$A:$I,8,0),0))</f>
        <v/>
      </c>
      <c r="C11" s="6">
        <f>IF($A11="","",SUMIF(Medicao_Mensal!$B:$B,$A11,Medicao_Mensal!$E:$E))</f>
        <v/>
      </c>
      <c r="D11" s="6">
        <f>IF($A11="","",SUMIF(Medicao_Mensal!$B:$B,$A11,Medicao_Mensal!$G:$G))</f>
        <v/>
      </c>
      <c r="E11" s="6">
        <f>IF($A11="","",SUMIF($J:$J,$A11,$M:$M))</f>
        <v/>
      </c>
      <c r="F11" s="6">
        <f>IF($A11="","",B11+D11-E11)</f>
        <v/>
      </c>
      <c r="G11" s="6">
        <f>IF($A11="","",C11)</f>
        <v/>
      </c>
      <c r="H11" s="3">
        <f>IF($A11="","",IF(F11&lt;C11,"SALDO INSUFICIENTE","OK"))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6" customWidth="1" min="3" max="3"/>
    <col width="22" customWidth="1" min="4" max="4"/>
    <col width="22" customWidth="1" min="5" max="5"/>
    <col width="6" customWidth="1" min="6" max="6"/>
  </cols>
  <sheetData>
    <row r="1">
      <c r="A1" s="1" t="inlineStr">
        <is>
          <t>PAINEL – GESTÃO DA CONTA VINCULADA – DETRAN/RO</t>
        </is>
      </c>
    </row>
    <row r="2">
      <c r="A2" s="10" t="inlineStr">
        <is>
          <t>Indicadores</t>
        </is>
      </c>
    </row>
    <row r="3">
      <c r="A3" s="3" t="inlineStr">
        <is>
          <t>Total de contratos cadastrados</t>
        </is>
      </c>
      <c r="B3" s="3">
        <f>COUNTA(Contratos!A2:A11)</f>
        <v/>
      </c>
    </row>
    <row r="4">
      <c r="A4" s="3" t="inlineStr">
        <is>
          <t>Total de empregados cadastrados</t>
        </is>
      </c>
      <c r="B4" s="3">
        <f>COUNTIF(Empregados!B2:B305,"&lt;&gt;")</f>
        <v/>
      </c>
    </row>
    <row r="5">
      <c r="A5" s="3" t="inlineStr">
        <is>
          <t>Vigilantes</t>
        </is>
      </c>
      <c r="B5" s="3">
        <f>COUNTIF(Empregados!D2:D305,"Vigilante")</f>
        <v/>
      </c>
    </row>
    <row r="6">
      <c r="A6" s="3" t="inlineStr">
        <is>
          <t>Auxiliares de limpeza</t>
        </is>
      </c>
      <c r="B6" s="3">
        <f>COUNTIF(Empregados!D2:D305,"*Limpeza*")</f>
        <v/>
      </c>
    </row>
    <row r="7">
      <c r="A7" s="3" t="inlineStr">
        <is>
          <t>Provisão mensal total (todos os contratos)</t>
        </is>
      </c>
      <c r="B7" s="3">
        <f>SUM(Empregados!L2:L305)</f>
        <v/>
      </c>
    </row>
    <row r="8">
      <c r="A8" s="3" t="inlineStr">
        <is>
          <t>Parcela autônoma total provisionada no mês</t>
        </is>
      </c>
      <c r="B8" s="3">
        <f>SUM(Medicao_Mensal!E2:E121)</f>
        <v/>
      </c>
    </row>
    <row r="9">
      <c r="A9" s="3" t="inlineStr">
        <is>
          <t>Total depositado</t>
        </is>
      </c>
      <c r="B9" s="3">
        <f>SUM(Medicao_Mensal!G2:G121)</f>
        <v/>
      </c>
    </row>
    <row r="10">
      <c r="A10" s="3" t="inlineStr">
        <is>
          <t>Saldo final total da conta vinculada</t>
        </is>
      </c>
      <c r="B10" s="3">
        <f>SUM(Conciliacao!F2:F11)</f>
        <v/>
      </c>
    </row>
    <row r="11">
      <c r="A11" s="3" t="inlineStr">
        <is>
          <t>Contratos com depósito em atraso</t>
        </is>
      </c>
      <c r="B11" s="3">
        <f>COUNTIF(Medicao_Mensal!H2:H121,"EM ATRASO")</f>
        <v/>
      </c>
    </row>
    <row r="13">
      <c r="A13" s="2" t="inlineStr">
        <is>
          <t>Nº Contrato</t>
        </is>
      </c>
      <c r="B13" s="2" t="inlineStr">
        <is>
          <t>Nº Empregados</t>
        </is>
      </c>
      <c r="C13" s="2" t="inlineStr">
        <is>
          <t>Provisão Mensal</t>
        </is>
      </c>
      <c r="D13" s="2" t="inlineStr">
        <is>
          <t>Saldo Final Conta</t>
        </is>
      </c>
      <c r="E13" s="2" t="inlineStr">
        <is>
          <t>Alerta</t>
        </is>
      </c>
    </row>
    <row r="14">
      <c r="A14" s="3">
        <f>IF(Contratos!A2="","",Contratos!A2)</f>
        <v/>
      </c>
      <c r="B14" s="3">
        <f>IF($A14="","",COUNTIF(Empregados!$A$2:$A$305,$A14))</f>
        <v/>
      </c>
      <c r="C14" s="6">
        <f>IF($A14="","",SUMIF(Empregados!$A$2:$A$305,$A14,Empregados!$L$2:$L$305))</f>
        <v/>
      </c>
      <c r="D14" s="6">
        <f>IF($A14="","",IFERROR(VLOOKUP($A14,Conciliacao!$A:$F,6,0),0))</f>
        <v/>
      </c>
      <c r="E14" s="3">
        <f>IF($A14="","",IFERROR(VLOOKUP($A14,Conciliacao!$A:$H,8,0),"OK"))</f>
        <v/>
      </c>
    </row>
    <row r="15">
      <c r="A15" s="3">
        <f>IF(Contratos!A3="","",Contratos!A3)</f>
        <v/>
      </c>
      <c r="B15" s="3">
        <f>IF($A15="","",COUNTIF(Empregados!$A$2:$A$305,$A15))</f>
        <v/>
      </c>
      <c r="C15" s="6">
        <f>IF($A15="","",SUMIF(Empregados!$A$2:$A$305,$A15,Empregados!$L$2:$L$305))</f>
        <v/>
      </c>
      <c r="D15" s="6">
        <f>IF($A15="","",IFERROR(VLOOKUP($A15,Conciliacao!$A:$F,6,0),0))</f>
        <v/>
      </c>
      <c r="E15" s="3">
        <f>IF($A15="","",IFERROR(VLOOKUP($A15,Conciliacao!$A:$H,8,0),"OK"))</f>
        <v/>
      </c>
    </row>
    <row r="16">
      <c r="A16" s="3">
        <f>IF(Contratos!A4="","",Contratos!A4)</f>
        <v/>
      </c>
      <c r="B16" s="3">
        <f>IF($A16="","",COUNTIF(Empregados!$A$2:$A$305,$A16))</f>
        <v/>
      </c>
      <c r="C16" s="6">
        <f>IF($A16="","",SUMIF(Empregados!$A$2:$A$305,$A16,Empregados!$L$2:$L$305))</f>
        <v/>
      </c>
      <c r="D16" s="6">
        <f>IF($A16="","",IFERROR(VLOOKUP($A16,Conciliacao!$A:$F,6,0),0))</f>
        <v/>
      </c>
      <c r="E16" s="3">
        <f>IF($A16="","",IFERROR(VLOOKUP($A16,Conciliacao!$A:$H,8,0),"OK"))</f>
        <v/>
      </c>
    </row>
    <row r="17">
      <c r="A17" s="3">
        <f>IF(Contratos!A5="","",Contratos!A5)</f>
        <v/>
      </c>
      <c r="B17" s="3">
        <f>IF($A17="","",COUNTIF(Empregados!$A$2:$A$305,$A17))</f>
        <v/>
      </c>
      <c r="C17" s="6">
        <f>IF($A17="","",SUMIF(Empregados!$A$2:$A$305,$A17,Empregados!$L$2:$L$305))</f>
        <v/>
      </c>
      <c r="D17" s="6">
        <f>IF($A17="","",IFERROR(VLOOKUP($A17,Conciliacao!$A:$F,6,0),0))</f>
        <v/>
      </c>
      <c r="E17" s="3">
        <f>IF($A17="","",IFERROR(VLOOKUP($A17,Conciliacao!$A:$H,8,0),"OK"))</f>
        <v/>
      </c>
    </row>
    <row r="18">
      <c r="A18" s="3">
        <f>IF(Contratos!A6="","",Contratos!A6)</f>
        <v/>
      </c>
      <c r="B18" s="3">
        <f>IF($A18="","",COUNTIF(Empregados!$A$2:$A$305,$A18))</f>
        <v/>
      </c>
      <c r="C18" s="6">
        <f>IF($A18="","",SUMIF(Empregados!$A$2:$A$305,$A18,Empregados!$L$2:$L$305))</f>
        <v/>
      </c>
      <c r="D18" s="6">
        <f>IF($A18="","",IFERROR(VLOOKUP($A18,Conciliacao!$A:$F,6,0),0))</f>
        <v/>
      </c>
      <c r="E18" s="3">
        <f>IF($A18="","",IFERROR(VLOOKUP($A18,Conciliacao!$A:$H,8,0),"OK"))</f>
        <v/>
      </c>
    </row>
    <row r="19">
      <c r="A19" s="3">
        <f>IF(Contratos!A7="","",Contratos!A7)</f>
        <v/>
      </c>
      <c r="B19" s="3">
        <f>IF($A19="","",COUNTIF(Empregados!$A$2:$A$305,$A19))</f>
        <v/>
      </c>
      <c r="C19" s="6">
        <f>IF($A19="","",SUMIF(Empregados!$A$2:$A$305,$A19,Empregados!$L$2:$L$305))</f>
        <v/>
      </c>
      <c r="D19" s="6">
        <f>IF($A19="","",IFERROR(VLOOKUP($A19,Conciliacao!$A:$F,6,0),0))</f>
        <v/>
      </c>
      <c r="E19" s="3">
        <f>IF($A19="","",IFERROR(VLOOKUP($A19,Conciliacao!$A:$H,8,0),"OK"))</f>
        <v/>
      </c>
    </row>
    <row r="20">
      <c r="A20" s="3">
        <f>IF(Contratos!A8="","",Contratos!A8)</f>
        <v/>
      </c>
      <c r="B20" s="3">
        <f>IF($A20="","",COUNTIF(Empregados!$A$2:$A$305,$A20))</f>
        <v/>
      </c>
      <c r="C20" s="6">
        <f>IF($A20="","",SUMIF(Empregados!$A$2:$A$305,$A20,Empregados!$L$2:$L$305))</f>
        <v/>
      </c>
      <c r="D20" s="6">
        <f>IF($A20="","",IFERROR(VLOOKUP($A20,Conciliacao!$A:$F,6,0),0))</f>
        <v/>
      </c>
      <c r="E20" s="3">
        <f>IF($A20="","",IFERROR(VLOOKUP($A20,Conciliacao!$A:$H,8,0),"OK"))</f>
        <v/>
      </c>
    </row>
    <row r="21">
      <c r="A21" s="3">
        <f>IF(Contratos!A9="","",Contratos!A9)</f>
        <v/>
      </c>
      <c r="B21" s="3">
        <f>IF($A21="","",COUNTIF(Empregados!$A$2:$A$305,$A21))</f>
        <v/>
      </c>
      <c r="C21" s="6">
        <f>IF($A21="","",SUMIF(Empregados!$A$2:$A$305,$A21,Empregados!$L$2:$L$305))</f>
        <v/>
      </c>
      <c r="D21" s="6">
        <f>IF($A21="","",IFERROR(VLOOKUP($A21,Conciliacao!$A:$F,6,0),0))</f>
        <v/>
      </c>
      <c r="E21" s="3">
        <f>IF($A21="","",IFERROR(VLOOKUP($A21,Conciliacao!$A:$H,8,0),"OK"))</f>
        <v/>
      </c>
    </row>
    <row r="22">
      <c r="A22" s="3">
        <f>IF(Contratos!A10="","",Contratos!A10)</f>
        <v/>
      </c>
      <c r="B22" s="3">
        <f>IF($A22="","",COUNTIF(Empregados!$A$2:$A$305,$A22))</f>
        <v/>
      </c>
      <c r="C22" s="6">
        <f>IF($A22="","",SUMIF(Empregados!$A$2:$A$305,$A22,Empregados!$L$2:$L$305))</f>
        <v/>
      </c>
      <c r="D22" s="6">
        <f>IF($A22="","",IFERROR(VLOOKUP($A22,Conciliacao!$A:$F,6,0),0))</f>
        <v/>
      </c>
      <c r="E22" s="3">
        <f>IF($A22="","",IFERROR(VLOOKUP($A22,Conciliacao!$A:$H,8,0),"OK"))</f>
        <v/>
      </c>
    </row>
    <row r="23">
      <c r="A23" s="3">
        <f>IF(Contratos!A11="","",Contratos!A11)</f>
        <v/>
      </c>
      <c r="B23" s="3">
        <f>IF($A23="","",COUNTIF(Empregados!$A$2:$A$305,$A23))</f>
        <v/>
      </c>
      <c r="C23" s="6">
        <f>IF($A23="","",SUMIF(Empregados!$A$2:$A$305,$A23,Empregados!$L$2:$L$305))</f>
        <v/>
      </c>
      <c r="D23" s="6">
        <f>IF($A23="","",IFERROR(VLOOKUP($A23,Conciliacao!$A:$F,6,0),0))</f>
        <v/>
      </c>
      <c r="E23" s="3">
        <f>IF($A23="","",IFERROR(VLOOKUP($A23,Conciliacao!$A:$H,8,0),"OK"))</f>
        <v/>
      </c>
    </row>
    <row r="26">
      <c r="A26" s="11" t="inlineStr">
        <is>
          <t>Ajuste os parâmetros na aba Parametros conforme o edital e os percentuais do contrato. Os depósitos devem refletir o extrato bancário da conta-depósito vinculada bloqueada.</t>
        </is>
      </c>
    </row>
    <row r="27"/>
  </sheetData>
  <mergeCells count="2">
    <mergeCell ref="A26:E27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2026-10-10T15:34:04Z</dcterms:created>
  <dcterms:modified xsi:type="dcterms:W3CDTF">2026-10-10T15:35:00Z</dcterms:modified>
</cp:coreProperties>
</file>